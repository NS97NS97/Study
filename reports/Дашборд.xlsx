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Рекомендации" sheetId="2" state="visible" r:id="rId2"/>
    <sheet name="Профили клиентов" sheetId="3" state="visible" r:id="rId3"/>
    <sheet name="Каталог монет" sheetId="4" state="visible" r:id="rId4"/>
    <sheet name="Качество данных" sheetId="5" state="visible" r:id="rId5"/>
    <sheet name="Метрики" sheetId="6" state="visible" r:id="rId6"/>
    <sheet name="Метрики (настройка)" sheetId="7" state="visible" r:id="rId7"/>
    <sheet name="Как обновить" sheetId="8" state="visible" r:id="rId8"/>
    <sheet name="_графики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20"/>
    </font>
    <font>
      <name val="Calibri"/>
      <b val="1"/>
      <color rgb="001F4E79"/>
      <sz val="13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sz val="8"/>
    </font>
    <font>
      <name val="Calibri"/>
      <sz val="11"/>
    </font>
    <font>
      <name val="Calibri"/>
      <sz val="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vertical="center" wrapText="1"/>
    </xf>
    <xf numFmtId="166" fontId="8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Статусы монет в каталоге</a:t>
            </a:r>
          </a:p>
        </rich>
      </tx>
    </title>
    <plotArea>
      <pieChart>
        <varyColors val="1"/>
        <ser>
          <idx val="0"/>
          <order val="0"/>
          <tx>
            <strRef>
              <f>'_графики'!C1</f>
            </strRef>
          </tx>
          <spPr>
            <a:ln>
              <a:prstDash val="solid"/>
            </a:ln>
          </spPr>
          <cat>
            <numRef>
              <f>'_графики'!$B$2:$B$3</f>
            </numRef>
          </cat>
          <val>
            <numRef>
              <f>'_графики'!$C$2:$C$3</f>
            </numRef>
          </val>
        </ser>
        <dLbls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Какие княжества сейчас в наличии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'_графики'!F1</f>
            </strRef>
          </tx>
          <spPr>
            <a:ln>
              <a:prstDash val="solid"/>
            </a:ln>
          </spPr>
          <cat>
            <numRef>
              <f>'_графики'!$E$2:$E$7</f>
            </numRef>
          </cat>
          <val>
            <numRef>
              <f>'_графики'!$F$2:$F$7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Бюджет клиента и цена рекомендуемых монет,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'_графики'!I1</f>
            </strRef>
          </tx>
          <spPr>
            <a:ln>
              <a:prstDash val="solid"/>
            </a:ln>
          </spPr>
          <cat>
            <numRef>
              <f>'_графики'!$H$2:$H$6</f>
            </numRef>
          </cat>
          <val>
            <numRef>
              <f>'_графики'!$I$2:$I$6</f>
            </numRef>
          </val>
        </ser>
        <ser>
          <idx val="1"/>
          <order val="1"/>
          <tx>
            <strRef>
              <f>'_графики'!J1</f>
            </strRef>
          </tx>
          <spPr>
            <a:ln>
              <a:prstDash val="solid"/>
            </a:ln>
          </spPr>
          <cat>
            <numRef>
              <f>'_графики'!$H$2:$H$6</f>
            </numRef>
          </cat>
          <val>
            <numRef>
              <f>'_графики'!$J$2:$J$6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Качество рекомендаций на истории: HitRate@K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'_графики'!M1</f>
            </strRef>
          </tx>
          <spPr>
            <a:ln>
              <a:prstDash val="solid"/>
            </a:ln>
          </spPr>
          <cat>
            <numRef>
              <f>'_графики'!$L$2:$L$5</f>
            </numRef>
          </cat>
          <val>
            <numRef>
              <f>'_графики'!$M$2:$M$5</f>
            </numRef>
          </val>
        </ser>
        <ser>
          <idx val="1"/>
          <order val="1"/>
          <tx>
            <strRef>
              <f>'_графики'!N1</f>
            </strRef>
          </tx>
          <spPr>
            <a:ln>
              <a:prstDash val="solid"/>
            </a:ln>
          </spPr>
          <cat>
            <numRef>
              <f>'_графики'!$L$2:$L$5</f>
            </numRef>
          </cat>
          <val>
            <numRef>
              <f>'_графики'!$N$2:$N$5</f>
            </numRef>
          </val>
        </ser>
        <ser>
          <idx val="2"/>
          <order val="2"/>
          <tx>
            <strRef>
              <f>'_графики'!O1</f>
            </strRef>
          </tx>
          <spPr>
            <a:ln>
              <a:prstDash val="solid"/>
            </a:ln>
          </spPr>
          <cat>
            <numRef>
              <f>'_графики'!$L$2:$L$5</f>
            </numRef>
          </cat>
          <val>
            <numRef>
              <f>'_графики'!$O$2:$O$5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Качество исходных данных</a:t>
            </a:r>
          </a:p>
        </rich>
      </tx>
    </title>
    <plotArea>
      <pieChart>
        <varyColors val="1"/>
        <ser>
          <idx val="0"/>
          <order val="0"/>
          <tx>
            <strRef>
              <f>'_графики'!R1</f>
            </strRef>
          </tx>
          <spPr>
            <a:ln>
              <a:prstDash val="solid"/>
            </a:ln>
          </spPr>
          <cat>
            <numRef>
              <f>'_графики'!$Q$2:$Q$4</f>
            </numRef>
          </cat>
          <val>
            <numRef>
              <f>'_графики'!$R$2:$R$4</f>
            </numRef>
          </val>
        </ser>
        <dLbls>
          <showLegendKey val="0"/>
          <showVal val="0"/>
          <showCatName val="1"/>
          <showSerName val="0"/>
          <showPercent val="1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60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76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108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" customWidth="1" min="2" max="2"/>
    <col width="11" customWidth="1" min="3" max="3"/>
    <col width="14" customWidth="1" min="4" max="4"/>
    <col width="11" customWidth="1" min="5" max="5"/>
    <col width="12" customWidth="1" min="6" max="6"/>
    <col width="13" customWidth="1" min="7" max="7"/>
    <col width="9" customWidth="1" min="8" max="8"/>
    <col width="52" customWidth="1" min="9" max="9"/>
  </cols>
  <sheetData>
    <row r="1" ht="32" customHeight="1">
      <c r="A1" s="1" t="inlineStr">
        <is>
          <t>РЕКОМЕНДАТЕЛЬНАЯ СИСТЕМА «МОНЕТЫ ДЛЯ КЛИЕНТА»</t>
        </is>
      </c>
    </row>
    <row r="2">
      <c r="A2" s="2" t="inlineStr">
        <is>
          <t>Источник: Google Таблица (обновлено 07.10.2026 13:14)  ·  Сформировано: 07.10.2026 13:14  ·  Обновить: двойной клик по файлу «Обновить_дашборд.bat»</t>
        </is>
      </c>
    </row>
    <row r="4">
      <c r="A4" s="3" t="inlineStr">
        <is>
          <t>МОНЕТ В КАТАЛОГЕ</t>
        </is>
      </c>
      <c r="D4" s="3" t="inlineStr">
        <is>
          <t>ДОСТУПНО К ПРОДАЖЕ</t>
        </is>
      </c>
      <c r="G4" s="3" t="inlineStr">
        <is>
          <t>КЛИЕНТОВ</t>
        </is>
      </c>
    </row>
    <row r="5" ht="30" customHeight="1">
      <c r="A5" s="4" t="inlineStr">
        <is>
          <t>57</t>
        </is>
      </c>
      <c r="D5" s="4" t="inlineStr">
        <is>
          <t>10</t>
        </is>
      </c>
      <c r="G5" s="4" t="inlineStr">
        <is>
          <t>5</t>
        </is>
      </c>
    </row>
    <row r="7">
      <c r="A7" s="3" t="inlineStr">
        <is>
          <t>ПРОДАННЫХ СДЕЛОК</t>
        </is>
      </c>
      <c r="D7" s="3" t="inlineStr">
        <is>
          <t>РЕКОМЕНДАЦИЙ СГЕНЕРИРОВАНО</t>
        </is>
      </c>
      <c r="G7" s="3" t="inlineStr">
        <is>
          <t>ПРОШЛИ ФИЛЬТРЫ (ИСТОРИЯ)</t>
        </is>
      </c>
    </row>
    <row r="8" ht="30" customHeight="1">
      <c r="A8" s="4" t="inlineStr">
        <is>
          <t>47</t>
        </is>
      </c>
      <c r="D8" s="4" t="inlineStr">
        <is>
          <t>25</t>
        </is>
      </c>
      <c r="G8" s="4" t="inlineStr">
        <is>
          <t>74%</t>
        </is>
      </c>
    </row>
    <row r="10">
      <c r="A10" s="3" t="inlineStr">
        <is>
          <t>ТОЧНОСТЬ ТОП-5, HR@5</t>
        </is>
      </c>
      <c r="D10" s="3" t="inlineStr">
        <is>
          <t>КАЧЕСТВО ДАННЫХ</t>
        </is>
      </c>
    </row>
    <row r="11" ht="30" customHeight="1">
      <c r="A11" s="4" t="inlineStr">
        <is>
          <t>26.2%</t>
        </is>
      </c>
      <c r="D11" s="5" t="inlineStr">
        <is>
          <t>26 OK · 3 WARN · 1 FAIL</t>
        </is>
      </c>
    </row>
    <row r="13">
      <c r="A13" s="6" t="inlineStr">
        <is>
          <t>РЕКОМЕНДАЦИИ ДЛЯ КАЖДОГО КЛИЕНТА  ·  полное обоснование каждой монеты — на листе «Рекомендации»</t>
        </is>
      </c>
    </row>
    <row r="14">
      <c r="A14" s="7" t="inlineStr">
        <is>
          <t>Клиент</t>
        </is>
      </c>
      <c r="B14" s="7" t="inlineStr">
        <is>
          <t>ранг</t>
        </is>
      </c>
      <c r="C14" s="7" t="inlineStr">
        <is>
          <t>ГП2</t>
        </is>
      </c>
      <c r="D14" s="7" t="inlineStr">
        <is>
          <t>Княжество</t>
        </is>
      </c>
      <c r="E14" s="7" t="inlineStr">
        <is>
          <t>Князь</t>
        </is>
      </c>
      <c r="F14" s="7" t="inlineStr">
        <is>
          <t>номинал</t>
        </is>
      </c>
      <c r="G14" s="7" t="inlineStr">
        <is>
          <t>цена, ₽</t>
        </is>
      </c>
      <c r="H14" s="7" t="inlineStr">
        <is>
          <t>Итог</t>
        </is>
      </c>
      <c r="I14" s="7" t="inlineStr">
        <is>
          <t>Обоснование</t>
        </is>
      </c>
    </row>
    <row r="15">
      <c r="A15" s="8" t="inlineStr">
        <is>
          <t>Alexan</t>
        </is>
      </c>
      <c r="B15" s="9" t="n">
        <v>1</v>
      </c>
      <c r="C15" s="8" t="inlineStr">
        <is>
          <t>1300</t>
        </is>
      </c>
      <c r="D15" s="8" t="inlineStr">
        <is>
          <t>Москва</t>
        </is>
      </c>
      <c r="E15" s="8" t="inlineStr">
        <is>
          <t>ВД</t>
        </is>
      </c>
      <c r="F15" s="8" t="inlineStr">
        <is>
          <t>денга</t>
        </is>
      </c>
      <c r="G15" s="10" t="n">
        <v>40000</v>
      </c>
      <c r="H15" s="11" t="n">
        <v>0.9893596986817326</v>
      </c>
      <c r="I15" s="8" t="inlineStr">
        <is>
          <t>Профиль: княжество Москва — 38% ваших покупок; князь ВД — 31% ваших покупок; номинал денга — 92% ваших покупок | Бюджет: ~40,000 ₽ внутри коридора 0 – 118,000 ₽</t>
        </is>
      </c>
    </row>
    <row r="16">
      <c r="A16" s="8" t="inlineStr">
        <is>
          <t>Alexan</t>
        </is>
      </c>
      <c r="B16" s="9" t="n">
        <v>2</v>
      </c>
      <c r="C16" s="8" t="inlineStr">
        <is>
          <t>1000A</t>
        </is>
      </c>
      <c r="D16" s="8" t="inlineStr">
        <is>
          <t>Москва</t>
        </is>
      </c>
      <c r="E16" s="8" t="inlineStr">
        <is>
          <t>ДД</t>
        </is>
      </c>
      <c r="F16" s="8" t="inlineStr">
        <is>
          <t>денга</t>
        </is>
      </c>
      <c r="G16" s="10" t="n">
        <v>45000</v>
      </c>
      <c r="H16" s="11" t="n">
        <v>0.8824387947269303</v>
      </c>
      <c r="I16" s="8" t="inlineStr">
        <is>
          <t>Профиль: княжество Москва — 38% ваших покупок; номинал денга — 92% ваших покупок; R=4 при вашей медиане 2 | Бюджет: ~45,000 ₽ внутри коридора 0 – 118,000 ₽ (мед</t>
        </is>
      </c>
    </row>
    <row r="17">
      <c r="A17" s="8" t="inlineStr">
        <is>
          <t>Alexan</t>
        </is>
      </c>
      <c r="B17" s="9" t="n">
        <v>3</v>
      </c>
      <c r="C17" s="8" t="inlineStr">
        <is>
          <t>3004</t>
        </is>
      </c>
      <c r="D17" s="8" t="inlineStr">
        <is>
          <t>Серпухов</t>
        </is>
      </c>
      <c r="E17" s="8" t="inlineStr">
        <is>
          <t>Храбрый</t>
        </is>
      </c>
      <c r="F17" s="8" t="inlineStr">
        <is>
          <t>денга</t>
        </is>
      </c>
      <c r="G17" s="10" t="n">
        <v>50000</v>
      </c>
      <c r="H17" s="11" t="n">
        <v>0.7031261770244821</v>
      </c>
      <c r="I17" s="8" t="inlineStr">
        <is>
          <t>Профиль: номинал денга — 92% ваших покупок; княжество Серпухов — 15% ваших покупок; R=1 при вашей медиане 2 | Бюджет: ~50,000 ₽ внутри коридора 0 – 118,000 ₽ (м</t>
        </is>
      </c>
    </row>
    <row r="18">
      <c r="A18" s="8" t="inlineStr">
        <is>
          <t>Alexan</t>
        </is>
      </c>
      <c r="B18" s="9" t="n">
        <v>4</v>
      </c>
      <c r="C18" s="9" t="n"/>
      <c r="D18" s="8" t="inlineStr">
        <is>
          <t>Микулин</t>
        </is>
      </c>
      <c r="E18" s="9" t="n"/>
      <c r="F18" s="8" t="inlineStr">
        <is>
          <t>денга</t>
        </is>
      </c>
      <c r="G18" s="10" t="n">
        <v>35000</v>
      </c>
      <c r="H18" s="11" t="n">
        <v>0.6778248587570621</v>
      </c>
      <c r="I18" s="8" t="inlineStr">
        <is>
          <t>Профиль: номинал денга — 92% ваших покупок; R=2 при вашей медиане 2 | Бюджет: ~35,000 ₽ внутри коридора 0 – 118,000 ₽ (медиана ваших покупок 41,000 ₽) | Новизна</t>
        </is>
      </c>
    </row>
    <row r="19">
      <c r="A19" s="8" t="inlineStr">
        <is>
          <t>Alexan</t>
        </is>
      </c>
      <c r="B19" s="9" t="n">
        <v>5</v>
      </c>
      <c r="C19" s="8" t="inlineStr">
        <is>
          <t>7262А</t>
        </is>
      </c>
      <c r="D19" s="8" t="inlineStr">
        <is>
          <t>Тверь</t>
        </is>
      </c>
      <c r="E19" s="8" t="inlineStr">
        <is>
          <t>МБ</t>
        </is>
      </c>
      <c r="F19" s="8" t="inlineStr">
        <is>
          <t>денга</t>
        </is>
      </c>
      <c r="G19" s="10" t="n">
        <v>52000</v>
      </c>
      <c r="H19" s="11" t="n">
        <v>0.6107344632768362</v>
      </c>
      <c r="I19" s="8" t="inlineStr">
        <is>
          <t>Профиль: номинал денга — 92% ваших покупок; R=2 при вашей медиане 2 | Бюджет: ~52,000 ₽ внутри коридора 0 – 118,000 ₽ (медиана ваших покупок 41,000 ₽) | Новизна</t>
        </is>
      </c>
    </row>
    <row r="20">
      <c r="A20" s="8" t="inlineStr">
        <is>
          <t>Гогер</t>
        </is>
      </c>
      <c r="B20" s="9" t="n">
        <v>1</v>
      </c>
      <c r="C20" s="8" t="inlineStr">
        <is>
          <t>1575</t>
        </is>
      </c>
      <c r="D20" s="8" t="inlineStr">
        <is>
          <t>СНВК</t>
        </is>
      </c>
      <c r="E20" s="9" t="n"/>
      <c r="F20" s="8" t="inlineStr">
        <is>
          <t>пуло</t>
        </is>
      </c>
      <c r="G20" s="10" t="n">
        <v>25000</v>
      </c>
      <c r="H20" s="11" t="n">
        <v>0.5706349206349206</v>
      </c>
      <c r="I20" s="8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</t>
        </is>
      </c>
    </row>
    <row r="21">
      <c r="A21" s="8" t="inlineStr">
        <is>
          <t>Гогер</t>
        </is>
      </c>
      <c r="B21" s="9" t="n">
        <v>2</v>
      </c>
      <c r="C21" s="8" t="inlineStr">
        <is>
          <t>NEW</t>
        </is>
      </c>
      <c r="D21" s="8" t="inlineStr">
        <is>
          <t>СНВК</t>
        </is>
      </c>
      <c r="E21" s="9" t="n"/>
      <c r="F21" s="8" t="inlineStr">
        <is>
          <t>пуло</t>
        </is>
      </c>
      <c r="G21" s="10" t="n">
        <v>25000</v>
      </c>
      <c r="H21" s="11" t="n">
        <v>0.5706349206349206</v>
      </c>
      <c r="I21" s="8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</t>
        </is>
      </c>
    </row>
    <row r="22">
      <c r="A22" s="8" t="inlineStr">
        <is>
          <t>Гогер</t>
        </is>
      </c>
      <c r="B22" s="9" t="n">
        <v>3</v>
      </c>
      <c r="C22" s="8" t="inlineStr">
        <is>
          <t>7100A</t>
        </is>
      </c>
      <c r="D22" s="8" t="inlineStr">
        <is>
          <t>Тверь</t>
        </is>
      </c>
      <c r="E22" s="8" t="inlineStr">
        <is>
          <t>БА</t>
        </is>
      </c>
      <c r="F22" s="8" t="inlineStr">
        <is>
          <t>денга</t>
        </is>
      </c>
      <c r="G22" s="10" t="n">
        <v>20000</v>
      </c>
      <c r="H22" s="11" t="n">
        <v>0.5295238095238095</v>
      </c>
      <c r="I22" s="8" t="inlineStr">
        <is>
          <t>Профиль: R=1 при вашей медиане 1; номинал денга — 17% ваших покупок | Бюджет: ~20,000 ₽ внутри коридора 11,250 – 37,500 ₽ (медиана ваших покупок 22,500 ₽) | Нов</t>
        </is>
      </c>
    </row>
    <row r="23">
      <c r="A23" s="8" t="inlineStr">
        <is>
          <t>Гогер</t>
        </is>
      </c>
      <c r="B23" s="9" t="n">
        <v>4</v>
      </c>
      <c r="C23" s="9" t="n"/>
      <c r="D23" s="8" t="inlineStr">
        <is>
          <t>Микулин</t>
        </is>
      </c>
      <c r="E23" s="9" t="n"/>
      <c r="F23" s="8" t="inlineStr">
        <is>
          <t>денга</t>
        </is>
      </c>
      <c r="G23" s="10" t="n">
        <v>35000</v>
      </c>
      <c r="H23" s="11" t="n">
        <v>0.3087301587301587</v>
      </c>
      <c r="I23" s="8" t="inlineStr">
        <is>
          <t>Профиль: R=2 при вашей медиане 1; номинал денга — 17% ваших покупок | Бюджет: ~35,000 ₽ внутри коридора 11,250 – 37,500 ₽ (медиана ваших покупок 22,500 ₽) | Нов</t>
        </is>
      </c>
    </row>
    <row r="24">
      <c r="A24" s="8" t="inlineStr">
        <is>
          <t>Гогер</t>
        </is>
      </c>
      <c r="B24" s="9" t="n">
        <v>5</v>
      </c>
      <c r="C24" s="8" t="inlineStr">
        <is>
          <t>3004</t>
        </is>
      </c>
      <c r="D24" s="8" t="inlineStr">
        <is>
          <t>Серпухов</t>
        </is>
      </c>
      <c r="E24" s="8" t="inlineStr">
        <is>
          <t>Храбрый</t>
        </is>
      </c>
      <c r="F24" s="8" t="inlineStr">
        <is>
          <t>денга</t>
        </is>
      </c>
      <c r="G24" s="10" t="n">
        <v>50000</v>
      </c>
      <c r="H24" s="11" t="n">
        <v>0.2866666666666667</v>
      </c>
      <c r="I24" s="8" t="inlineStr">
        <is>
          <t>Профиль: R=1 при вашей медиане 1; номинал денга — 17% ваших покупок | Бюджет: ~50,000 ₽ вне коридора 11,250 – 37,500 ₽ (+122% к вашей медиане) — требуется допус</t>
        </is>
      </c>
    </row>
    <row r="25">
      <c r="A25" s="8" t="inlineStr">
        <is>
          <t>Городен</t>
        </is>
      </c>
      <c r="B25" s="9" t="n">
        <v>1</v>
      </c>
      <c r="C25" s="8" t="inlineStr">
        <is>
          <t>7262А</t>
        </is>
      </c>
      <c r="D25" s="8" t="inlineStr">
        <is>
          <t>Тверь</t>
        </is>
      </c>
      <c r="E25" s="8" t="inlineStr">
        <is>
          <t>МБ</t>
        </is>
      </c>
      <c r="F25" s="8" t="inlineStr">
        <is>
          <t>денга</t>
        </is>
      </c>
      <c r="G25" s="10" t="n">
        <v>52000</v>
      </c>
      <c r="H25" s="11" t="n">
        <v>0.9944444444444445</v>
      </c>
      <c r="I25" s="8" t="inlineStr">
        <is>
          <t>Профиль: княжество Тверь — 67% ваших покупок; князь МБ — 67% ваших покупок; номинал денга — 100% ваших покупок | Бюджет: ~52,000 ₽ внутри коридора 21,000 – 88,5</t>
        </is>
      </c>
    </row>
    <row r="26">
      <c r="A26" s="8" t="inlineStr">
        <is>
          <t>Городен</t>
        </is>
      </c>
      <c r="B26" s="9" t="n">
        <v>2</v>
      </c>
      <c r="C26" s="8" t="inlineStr">
        <is>
          <t>3004</t>
        </is>
      </c>
      <c r="D26" s="8" t="inlineStr">
        <is>
          <t>Серпухов</t>
        </is>
      </c>
      <c r="E26" s="8" t="inlineStr">
        <is>
          <t>Храбрый</t>
        </is>
      </c>
      <c r="F26" s="8" t="inlineStr">
        <is>
          <t>денга</t>
        </is>
      </c>
      <c r="G26" s="10" t="n">
        <v>50000</v>
      </c>
      <c r="H26" s="11" t="n">
        <v>0.6433333333333333</v>
      </c>
      <c r="I26" s="8" t="inlineStr">
        <is>
          <t xml:space="preserve">Профиль: номинал денга — 100% ваших покупок; R=1 при вашей медиане 1.5 | Бюджет: ~50,000 ₽ внутри коридора 21,000 – 88,500 ₽ (медиана ваших покупок 52,000 ₽) | </t>
        </is>
      </c>
    </row>
    <row r="27">
      <c r="A27" s="8" t="inlineStr">
        <is>
          <t>Городен</t>
        </is>
      </c>
      <c r="B27" s="9" t="n">
        <v>3</v>
      </c>
      <c r="C27" s="8" t="inlineStr">
        <is>
          <t>1000A</t>
        </is>
      </c>
      <c r="D27" s="8" t="inlineStr">
        <is>
          <t>Москва</t>
        </is>
      </c>
      <c r="E27" s="8" t="inlineStr">
        <is>
          <t>ДД</t>
        </is>
      </c>
      <c r="F27" s="8" t="inlineStr">
        <is>
          <t>денга</t>
        </is>
      </c>
      <c r="G27" s="10" t="n">
        <v>45000</v>
      </c>
      <c r="H27" s="11" t="n">
        <v>0.5766666666666667</v>
      </c>
      <c r="I27" s="8" t="inlineStr">
        <is>
          <t xml:space="preserve">Профиль: номинал денга — 100% ваших покупок; R=4 при вашей медиане 1.5 | Бюджет: ~45,000 ₽ внутри коридора 21,000 – 88,500 ₽ (медиана ваших покупок 52,000 ₽) | </t>
        </is>
      </c>
    </row>
    <row r="28">
      <c r="A28" s="8" t="inlineStr">
        <is>
          <t>Городен</t>
        </is>
      </c>
      <c r="B28" s="9" t="n">
        <v>4</v>
      </c>
      <c r="C28" s="8" t="inlineStr">
        <is>
          <t>1300</t>
        </is>
      </c>
      <c r="D28" s="8" t="inlineStr">
        <is>
          <t>Москва</t>
        </is>
      </c>
      <c r="E28" s="8" t="inlineStr">
        <is>
          <t>ВД</t>
        </is>
      </c>
      <c r="F28" s="8" t="inlineStr">
        <is>
          <t>денга</t>
        </is>
      </c>
      <c r="G28" s="10" t="n">
        <v>40000</v>
      </c>
      <c r="H28" s="11" t="n">
        <v>0.5600000000000001</v>
      </c>
      <c r="I28" s="8" t="inlineStr">
        <is>
          <t xml:space="preserve">Профиль: номинал денга — 100% ваших покупок; R=1 при вашей медиане 1.5 | Бюджет: ~40,000 ₽ внутри коридора 21,000 – 88,500 ₽ (медиана ваших покупок 52,000 ₽) | </t>
        </is>
      </c>
    </row>
    <row r="29">
      <c r="A29" s="8" t="inlineStr">
        <is>
          <t>Городен</t>
        </is>
      </c>
      <c r="B29" s="9" t="n">
        <v>5</v>
      </c>
      <c r="C29" s="9" t="n"/>
      <c r="D29" s="8" t="inlineStr">
        <is>
          <t>Микулин</t>
        </is>
      </c>
      <c r="E29" s="9" t="n"/>
      <c r="F29" s="8" t="inlineStr">
        <is>
          <t>денга</t>
        </is>
      </c>
      <c r="G29" s="10" t="n">
        <v>35000</v>
      </c>
      <c r="H29" s="11" t="n">
        <v>0.5502777777777779</v>
      </c>
      <c r="I29" s="8" t="inlineStr">
        <is>
          <t xml:space="preserve">Профиль: номинал денга — 100% ваших покупок; R=2 при вашей медиане 1.5 | Бюджет: ~35,000 ₽ внутри коридора 21,000 – 88,500 ₽ (медиана ваших покупок 52,000 ₽) | </t>
        </is>
      </c>
    </row>
    <row r="30">
      <c r="A30" s="8" t="inlineStr">
        <is>
          <t>Лейбов</t>
        </is>
      </c>
      <c r="B30" s="9" t="n">
        <v>1</v>
      </c>
      <c r="C30" s="8" t="inlineStr">
        <is>
          <t>1300</t>
        </is>
      </c>
      <c r="D30" s="8" t="inlineStr">
        <is>
          <t>Москва</t>
        </is>
      </c>
      <c r="E30" s="8" t="inlineStr">
        <is>
          <t>ВД</t>
        </is>
      </c>
      <c r="F30" s="8" t="inlineStr">
        <is>
          <t>денга</t>
        </is>
      </c>
      <c r="G30" s="10" t="n">
        <v>40000</v>
      </c>
      <c r="H30" s="11" t="n">
        <v>0.7</v>
      </c>
      <c r="I30" s="8" t="inlineStr">
        <is>
          <t>Профиль: княжество Москва — 100% ваших покупок; князь ВД — 100% ваших покупок; номинал денга — 100% ваших покупок | Бюджет: ~40,000 ₽ вне коридора 6,250 – 18,75</t>
        </is>
      </c>
    </row>
    <row r="31">
      <c r="A31" s="8" t="inlineStr">
        <is>
          <t>Лейбов</t>
        </is>
      </c>
      <c r="B31" s="9" t="n">
        <v>2</v>
      </c>
      <c r="C31" s="8" t="inlineStr">
        <is>
          <t>1000A</t>
        </is>
      </c>
      <c r="D31" s="8" t="inlineStr">
        <is>
          <t>Москва</t>
        </is>
      </c>
      <c r="E31" s="8" t="inlineStr">
        <is>
          <t>ДД</t>
        </is>
      </c>
      <c r="F31" s="8" t="inlineStr">
        <is>
          <t>денга</t>
        </is>
      </c>
      <c r="G31" s="10" t="n">
        <v>45000</v>
      </c>
      <c r="H31" s="11" t="n">
        <v>0.5846153846153845</v>
      </c>
      <c r="I31" s="8" t="inlineStr">
        <is>
          <t>Профиль: княжество Москва — 100% ваших покупок; номинал денга — 100% ваших покупок | Бюджет: ~45,000 ₽ вне коридора 6,250 – 18,750 ₽ (+260% к вашей медиане) — т</t>
        </is>
      </c>
    </row>
    <row r="32">
      <c r="A32" s="8" t="inlineStr">
        <is>
          <t>Лейбов</t>
        </is>
      </c>
      <c r="B32" s="9" t="n">
        <v>3</v>
      </c>
      <c r="C32" s="8" t="inlineStr">
        <is>
          <t>1111</t>
        </is>
      </c>
      <c r="D32" s="8" t="inlineStr">
        <is>
          <t>Москва</t>
        </is>
      </c>
      <c r="E32" s="8" t="inlineStr">
        <is>
          <t>ДД</t>
        </is>
      </c>
      <c r="F32" s="8" t="inlineStr">
        <is>
          <t>денга</t>
        </is>
      </c>
      <c r="G32" s="10" t="n">
        <v>40000</v>
      </c>
      <c r="H32" s="11" t="n">
        <v>0.5846153846153845</v>
      </c>
      <c r="I32" s="8" t="inlineStr">
        <is>
          <t>Профиль: княжество Москва — 100% ваших покупок; номинал денга — 100% ваших покупок | Бюджет: ~40,000 ₽ вне коридора 6,250 – 18,750 ₽ (+220% к вашей медиане) — т</t>
        </is>
      </c>
    </row>
    <row r="33">
      <c r="A33" s="8" t="inlineStr">
        <is>
          <t>Лейбов</t>
        </is>
      </c>
      <c r="B33" s="9" t="n">
        <v>4</v>
      </c>
      <c r="C33" s="9" t="n"/>
      <c r="D33" s="8" t="inlineStr">
        <is>
          <t>Микулин</t>
        </is>
      </c>
      <c r="E33" s="9" t="n"/>
      <c r="F33" s="8" t="inlineStr">
        <is>
          <t>денга</t>
        </is>
      </c>
      <c r="G33" s="10" t="n">
        <v>35000</v>
      </c>
      <c r="H33" s="11" t="n">
        <v>0.35</v>
      </c>
      <c r="I33" s="8" t="inlineStr">
        <is>
          <t>Профиль: номинал денга — 100% ваших покупок | Бюджет: ~35,000 ₽ вне коридора 6,250 – 18,750 ₽ (+180% к вашей медиане) — требуется допуск | Новизна: полный анало</t>
        </is>
      </c>
    </row>
    <row r="34">
      <c r="A34" s="8" t="inlineStr">
        <is>
          <t>Лейбов</t>
        </is>
      </c>
      <c r="B34" s="9" t="n">
        <v>5</v>
      </c>
      <c r="C34" s="8" t="inlineStr">
        <is>
          <t>3004</t>
        </is>
      </c>
      <c r="D34" s="8" t="inlineStr">
        <is>
          <t>Серпухов</t>
        </is>
      </c>
      <c r="E34" s="8" t="inlineStr">
        <is>
          <t>Храбрый</t>
        </is>
      </c>
      <c r="F34" s="8" t="inlineStr">
        <is>
          <t>денга</t>
        </is>
      </c>
      <c r="G34" s="10" t="n">
        <v>50000</v>
      </c>
      <c r="H34" s="11" t="n">
        <v>0.3153846153846154</v>
      </c>
      <c r="I34" s="8" t="inlineStr">
        <is>
          <t>Профиль: номинал денга — 100% ваших покупок | Бюджет: ~50,000 ₽ вне коридора 6,250 – 18,750 ₽ (+300% к вашей медиане) — требуется допуск | Новизна: ГП2 3004 в к</t>
        </is>
      </c>
    </row>
    <row r="35">
      <c r="A35" s="8" t="inlineStr">
        <is>
          <t>Шувалов</t>
        </is>
      </c>
      <c r="B35" s="9" t="n">
        <v>1</v>
      </c>
      <c r="C35" s="8" t="inlineStr">
        <is>
          <t>1300</t>
        </is>
      </c>
      <c r="D35" s="8" t="inlineStr">
        <is>
          <t>Москва</t>
        </is>
      </c>
      <c r="E35" s="8" t="inlineStr">
        <is>
          <t>ВД</t>
        </is>
      </c>
      <c r="F35" s="8" t="inlineStr">
        <is>
          <t>денга</t>
        </is>
      </c>
      <c r="G35" s="10" t="n">
        <v>40000</v>
      </c>
      <c r="H35" s="11" t="n">
        <v>0.9544444444444444</v>
      </c>
      <c r="I35" s="8" t="inlineStr">
        <is>
          <t xml:space="preserve">Профиль: княжество Москва — 26% ваших покупок; князь ВД — 26% ваших покупок; номинал денга — 78% ваших покупок | Бюджет: ~40,000 ₽ внутри коридора 0 – 75,000 ₽ </t>
        </is>
      </c>
    </row>
    <row r="36">
      <c r="A36" s="8" t="inlineStr">
        <is>
          <t>Шувалов</t>
        </is>
      </c>
      <c r="B36" s="9" t="n">
        <v>2</v>
      </c>
      <c r="C36" s="8" t="inlineStr">
        <is>
          <t>1111</t>
        </is>
      </c>
      <c r="D36" s="8" t="inlineStr">
        <is>
          <t>Москва</t>
        </is>
      </c>
      <c r="E36" s="8" t="inlineStr">
        <is>
          <t>ДД</t>
        </is>
      </c>
      <c r="F36" s="8" t="inlineStr">
        <is>
          <t>денга</t>
        </is>
      </c>
      <c r="G36" s="10" t="n">
        <v>40000</v>
      </c>
      <c r="H36" s="11" t="n">
        <v>0.8466666666666667</v>
      </c>
      <c r="I36" s="8" t="inlineStr">
        <is>
          <t>Профиль: княжество Москва — 26% ваших покупок; номинал денга — 78% ваших покупок; R=4 при вашей медиане 1 | Бюджет: ~40,000 ₽ внутри коридора 0 – 75,000 ₽ (меди</t>
        </is>
      </c>
    </row>
    <row r="37">
      <c r="A37" s="8" t="inlineStr">
        <is>
          <t>Шувалов</t>
        </is>
      </c>
      <c r="B37" s="9" t="n">
        <v>3</v>
      </c>
      <c r="C37" s="8" t="inlineStr">
        <is>
          <t>7100A</t>
        </is>
      </c>
      <c r="D37" s="8" t="inlineStr">
        <is>
          <t>Тверь</t>
        </is>
      </c>
      <c r="E37" s="8" t="inlineStr">
        <is>
          <t>БА</t>
        </is>
      </c>
      <c r="F37" s="8" t="inlineStr">
        <is>
          <t>денга</t>
        </is>
      </c>
      <c r="G37" s="10" t="n">
        <v>20000</v>
      </c>
      <c r="H37" s="11" t="n">
        <v>0.8399999999999999</v>
      </c>
      <c r="I37" s="8" t="inlineStr">
        <is>
          <t>Профиль: княжество Тверь — 26% ваших покупок; номинал денга — 78% ваших покупок; R=1 при вашей медиане 1 | Бюджет: ~20,000 ₽ внутри коридора 0 – 75,000 ₽ (медиа</t>
        </is>
      </c>
    </row>
    <row r="38">
      <c r="A38" s="8" t="inlineStr">
        <is>
          <t>Шувалов</t>
        </is>
      </c>
      <c r="B38" s="9" t="n">
        <v>4</v>
      </c>
      <c r="C38" s="8" t="inlineStr">
        <is>
          <t>1000A</t>
        </is>
      </c>
      <c r="D38" s="8" t="inlineStr">
        <is>
          <t>Москва</t>
        </is>
      </c>
      <c r="E38" s="8" t="inlineStr">
        <is>
          <t>ДД</t>
        </is>
      </c>
      <c r="F38" s="8" t="inlineStr">
        <is>
          <t>денга</t>
        </is>
      </c>
      <c r="G38" s="10" t="n">
        <v>45000</v>
      </c>
      <c r="H38" s="11" t="n">
        <v>0.8066666666666666</v>
      </c>
      <c r="I38" s="8" t="inlineStr">
        <is>
          <t>Профиль: княжество Москва — 26% ваших покупок; номинал денга — 78% ваших покупок; R=4 при вашей медиане 1 | Бюджет: ~45,000 ₽ внутри коридора 0 – 75,000 ₽ (меди</t>
        </is>
      </c>
    </row>
    <row r="39">
      <c r="A39" s="8" t="inlineStr">
        <is>
          <t>Шувалов</t>
        </is>
      </c>
      <c r="B39" s="9" t="n">
        <v>5</v>
      </c>
      <c r="C39" s="8" t="inlineStr">
        <is>
          <t>7262А</t>
        </is>
      </c>
      <c r="D39" s="8" t="inlineStr">
        <is>
          <t>Тверь</t>
        </is>
      </c>
      <c r="E39" s="8" t="inlineStr">
        <is>
          <t>МБ</t>
        </is>
      </c>
      <c r="F39" s="8" t="inlineStr">
        <is>
          <t>денга</t>
        </is>
      </c>
      <c r="G39" s="10" t="n">
        <v>52000</v>
      </c>
      <c r="H39" s="11" t="n">
        <v>0.7928888888888888</v>
      </c>
      <c r="I39" s="8" t="inlineStr">
        <is>
          <t>Профиль: княжество Тверь — 26% ваших покупок; номинал денга — 78% ваших покупок; R=2 при вашей медиане 1 | Бюджет: ~52,000 ₽ внутри коридора 0 – 75,000 ₽ (медиа</t>
        </is>
      </c>
    </row>
    <row r="41" ht="30" customHeight="1">
      <c r="A41" s="12" t="inlineStr">
        <is>
          <t>⚠ ВНИМАНИЕ: есть критичные замечания по данным (лист «Качество данных»). До их исправления KPI «закупка → продажа» не считается, а часть рекомендаций строится по оценённым ценам.</t>
        </is>
      </c>
    </row>
  </sheetData>
  <mergeCells count="20">
    <mergeCell ref="A41:I41"/>
    <mergeCell ref="D10:E10"/>
    <mergeCell ref="A11:B11"/>
    <mergeCell ref="G8:H8"/>
    <mergeCell ref="A2:I2"/>
    <mergeCell ref="A7:B7"/>
    <mergeCell ref="G7:H7"/>
    <mergeCell ref="D11:E11"/>
    <mergeCell ref="D7:E7"/>
    <mergeCell ref="A13:I13"/>
    <mergeCell ref="A5:B5"/>
    <mergeCell ref="G5:H5"/>
    <mergeCell ref="D4:E4"/>
    <mergeCell ref="A8:B8"/>
    <mergeCell ref="A4:B4"/>
    <mergeCell ref="G4:H4"/>
    <mergeCell ref="D8:E8"/>
    <mergeCell ref="D5:E5"/>
    <mergeCell ref="A10:B10"/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3" customWidth="1" min="3" max="3"/>
    <col width="39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22" customWidth="1" min="14" max="14"/>
    <col width="22" customWidth="1" min="15" max="15"/>
    <col width="22" customWidth="1" min="16" max="16"/>
    <col width="18" customWidth="1" min="17" max="17"/>
    <col width="46" customWidth="1" min="18" max="18"/>
    <col width="17" customWidth="1" min="19" max="19"/>
    <col width="16" customWidth="1" min="20" max="20"/>
  </cols>
  <sheetData>
    <row r="1">
      <c r="A1" s="6" t="inlineStr">
        <is>
          <t>Рекомендации топ-K по каждому клиенту (с обоснованием)</t>
        </is>
      </c>
    </row>
    <row r="2">
      <c r="A2" s="7" t="inlineStr">
        <is>
          <t>Клиент</t>
        </is>
      </c>
      <c r="B2" s="7" t="inlineStr">
        <is>
          <t>ID клиента</t>
        </is>
      </c>
      <c r="C2" s="7" t="inlineStr">
        <is>
          <t>ранг</t>
        </is>
      </c>
      <c r="D2" s="7" t="inlineStr">
        <is>
          <t>ID монеты</t>
        </is>
      </c>
      <c r="E2" s="7" t="inlineStr">
        <is>
          <t>ГП2</t>
        </is>
      </c>
      <c r="F2" s="7" t="inlineStr">
        <is>
          <t>Княжество</t>
        </is>
      </c>
      <c r="G2" s="7" t="inlineStr">
        <is>
          <t>Князь</t>
        </is>
      </c>
      <c r="H2" s="7" t="inlineStr">
        <is>
          <t>номинал</t>
        </is>
      </c>
      <c r="I2" s="7" t="inlineStr">
        <is>
          <t>описание</t>
        </is>
      </c>
      <c r="J2" s="7" t="inlineStr">
        <is>
          <t>R</t>
        </is>
      </c>
      <c r="K2" s="7" t="inlineStr">
        <is>
          <t>цена, ₽</t>
        </is>
      </c>
      <c r="L2" s="7" t="inlineStr">
        <is>
          <t>источник цены</t>
        </is>
      </c>
      <c r="M2" s="7" t="inlineStr">
        <is>
          <t>Новизна</t>
        </is>
      </c>
      <c r="N2" s="7" t="inlineStr">
        <is>
          <t>Профиль</t>
        </is>
      </c>
      <c r="O2" s="7" t="inlineStr">
        <is>
          <t>Бюджет</t>
        </is>
      </c>
      <c r="P2" s="7" t="inlineStr">
        <is>
          <t>Итог</t>
        </is>
      </c>
      <c r="Q2" s="7" t="inlineStr">
        <is>
          <t>Бюджет коридор</t>
        </is>
      </c>
      <c r="R2" s="7" t="inlineStr">
        <is>
          <t>Обоснование</t>
        </is>
      </c>
      <c r="S2" s="7" t="inlineStr">
        <is>
          <t>пул кандидатов</t>
        </is>
      </c>
      <c r="T2" s="7" t="inlineStr">
        <is>
          <t>прошло бюджет</t>
        </is>
      </c>
    </row>
    <row r="3">
      <c r="A3" s="8" t="inlineStr">
        <is>
          <t>Alexan</t>
        </is>
      </c>
      <c r="B3" s="8" t="inlineStr">
        <is>
          <t>a4bc418f-2729-4431-bed3-7c123d84a2fe</t>
        </is>
      </c>
      <c r="C3" s="9" t="n">
        <v>1</v>
      </c>
      <c r="D3" s="8" t="inlineStr">
        <is>
          <t>ee75e4bb-b407-49e7-9894-3d1616adca5b</t>
        </is>
      </c>
      <c r="E3" s="8" t="inlineStr">
        <is>
          <t>1300</t>
        </is>
      </c>
      <c r="F3" s="8" t="inlineStr">
        <is>
          <t>Москва</t>
        </is>
      </c>
      <c r="G3" s="8" t="inlineStr">
        <is>
          <t>ВД</t>
        </is>
      </c>
      <c r="H3" s="8" t="inlineStr">
        <is>
          <t>денга</t>
        </is>
      </c>
      <c r="I3" s="9" t="n"/>
      <c r="J3" s="9" t="n">
        <v>1.5</v>
      </c>
      <c r="K3" s="10" t="n">
        <v>40000</v>
      </c>
      <c r="L3" s="8" t="inlineStr">
        <is>
          <t>княжество+князь</t>
        </is>
      </c>
      <c r="M3" s="11" t="n">
        <v>1</v>
      </c>
      <c r="N3" s="11" t="n">
        <v>0.9888888888888889</v>
      </c>
      <c r="O3" s="10" t="n">
        <v>0.9830508474576272</v>
      </c>
      <c r="P3" s="11" t="n">
        <v>0.9893596986817326</v>
      </c>
      <c r="Q3" s="8" t="inlineStr">
        <is>
          <t>ок</t>
        </is>
      </c>
      <c r="R3" s="8" t="inlineStr">
        <is>
          <t>Профиль: княжество Москва — 38% ваших покупок; князь ВД — 31% ваших покупок; номинал денга — 92% ваших покупок | Бюджет: ~40,000 ₽ внутри коридора 0 – 118,000 ₽ (медиана ваших покупок 41,000 ₽) | Новизна: ГП2 1300 в коллекции отсутствует</t>
        </is>
      </c>
      <c r="S3" s="9" t="n">
        <v>9</v>
      </c>
      <c r="T3" s="10" t="n">
        <v>9</v>
      </c>
    </row>
    <row r="4">
      <c r="A4" s="8" t="inlineStr">
        <is>
          <t>Alexan</t>
        </is>
      </c>
      <c r="B4" s="8" t="inlineStr">
        <is>
          <t>a4bc418f-2729-4431-bed3-7c123d84a2fe</t>
        </is>
      </c>
      <c r="C4" s="9" t="n">
        <v>2</v>
      </c>
      <c r="D4" s="8" t="inlineStr">
        <is>
          <t>9f301119-aba9-4b98-abb7-c932ff2bc323</t>
        </is>
      </c>
      <c r="E4" s="8" t="inlineStr">
        <is>
          <t>1000A</t>
        </is>
      </c>
      <c r="F4" s="8" t="inlineStr">
        <is>
          <t>Москва</t>
        </is>
      </c>
      <c r="G4" s="8" t="inlineStr">
        <is>
          <t>ДД</t>
        </is>
      </c>
      <c r="H4" s="8" t="inlineStr">
        <is>
          <t>денга</t>
        </is>
      </c>
      <c r="I4" s="9" t="n"/>
      <c r="J4" s="9" t="n">
        <v>4</v>
      </c>
      <c r="K4" s="10" t="n">
        <v>45000</v>
      </c>
      <c r="L4" s="8" t="inlineStr">
        <is>
          <t>княжество+князь</t>
        </is>
      </c>
      <c r="M4" s="11" t="n">
        <v>1</v>
      </c>
      <c r="N4" s="11" t="n">
        <v>0.8055555555555555</v>
      </c>
      <c r="O4" s="10" t="n">
        <v>0.9322033898305084</v>
      </c>
      <c r="P4" s="11" t="n">
        <v>0.8824387947269303</v>
      </c>
      <c r="Q4" s="8" t="inlineStr">
        <is>
          <t>ок</t>
        </is>
      </c>
      <c r="R4" s="8" t="inlineStr">
        <is>
          <t>Профиль: княжество Москва — 38% ваших покупок; номинал денга — 92% ваших покупок; R=4 при вашей медиане 2 | Бюджет: ~45,000 ₽ внутри коридора 0 – 118,000 ₽ (медиана ваших покупок 41,000 ₽) | Новизна: ГП2 1000А в коллекции отсутствует</t>
        </is>
      </c>
      <c r="S4" s="9" t="n">
        <v>9</v>
      </c>
      <c r="T4" s="10" t="n">
        <v>9</v>
      </c>
    </row>
    <row r="5">
      <c r="A5" s="8" t="inlineStr">
        <is>
          <t>Alexan</t>
        </is>
      </c>
      <c r="B5" s="8" t="inlineStr">
        <is>
          <t>a4bc418f-2729-4431-bed3-7c123d84a2fe</t>
        </is>
      </c>
      <c r="C5" s="9" t="n">
        <v>3</v>
      </c>
      <c r="D5" s="8" t="inlineStr">
        <is>
          <t>f6c08882-118c-434a-8f8f-c1c0c5ded8e8</t>
        </is>
      </c>
      <c r="E5" s="8" t="inlineStr">
        <is>
          <t>3004</t>
        </is>
      </c>
      <c r="F5" s="8" t="inlineStr">
        <is>
          <t>Серпухов</t>
        </is>
      </c>
      <c r="G5" s="8" t="inlineStr">
        <is>
          <t>Храбрый</t>
        </is>
      </c>
      <c r="H5" s="8" t="inlineStr">
        <is>
          <t>денга</t>
        </is>
      </c>
      <c r="I5" s="9" t="n"/>
      <c r="J5" s="9" t="n">
        <v>1</v>
      </c>
      <c r="K5" s="10" t="n">
        <v>50000</v>
      </c>
      <c r="L5" s="8" t="inlineStr">
        <is>
          <t>ГП2 3004</t>
        </is>
      </c>
      <c r="M5" s="11" t="n">
        <v>1</v>
      </c>
      <c r="N5" s="11" t="n">
        <v>0.4977777777777777</v>
      </c>
      <c r="O5" s="10" t="n">
        <v>0.847457627118644</v>
      </c>
      <c r="P5" s="11" t="n">
        <v>0.7031261770244821</v>
      </c>
      <c r="Q5" s="8" t="inlineStr">
        <is>
          <t>ок</t>
        </is>
      </c>
      <c r="R5" s="8" t="inlineStr">
        <is>
          <t>Профиль: номинал денга — 92% ваших покупок; княжество Серпухов — 15% ваших покупок; R=1 при вашей медиане 2 | Бюджет: ~50,000 ₽ внутри коридора 0 – 118,000 ₽ (медиана ваших покупок 41,000 ₽) | Новизна: ГП2 3004 в коллекции отсутствует</t>
        </is>
      </c>
      <c r="S5" s="9" t="n">
        <v>9</v>
      </c>
      <c r="T5" s="10" t="n">
        <v>9</v>
      </c>
    </row>
    <row r="6">
      <c r="A6" s="8" t="inlineStr">
        <is>
          <t>Alexan</t>
        </is>
      </c>
      <c r="B6" s="8" t="inlineStr">
        <is>
          <t>a4bc418f-2729-4431-bed3-7c123d84a2fe</t>
        </is>
      </c>
      <c r="C6" s="9" t="n">
        <v>4</v>
      </c>
      <c r="D6" s="8" t="inlineStr">
        <is>
          <t>58458c6c-a7eb-4f54-a0f7-bb5faa835cde</t>
        </is>
      </c>
      <c r="E6" s="9" t="n"/>
      <c r="F6" s="8" t="inlineStr">
        <is>
          <t>Микулин</t>
        </is>
      </c>
      <c r="G6" s="9" t="n"/>
      <c r="H6" s="8" t="inlineStr">
        <is>
          <t>денга</t>
        </is>
      </c>
      <c r="I6" s="9" t="n"/>
      <c r="J6" s="9" t="n">
        <v>2</v>
      </c>
      <c r="K6" s="10" t="n">
        <v>35000</v>
      </c>
      <c r="L6" s="8" t="inlineStr">
        <is>
          <t>весь каталог</t>
        </is>
      </c>
      <c r="M6" s="11" t="n">
        <v>1</v>
      </c>
      <c r="N6" s="11" t="n">
        <v>0.4166666666666667</v>
      </c>
      <c r="O6" s="10" t="n">
        <v>0.8983050847457628</v>
      </c>
      <c r="P6" s="11" t="n">
        <v>0.6778248587570621</v>
      </c>
      <c r="Q6" s="8" t="inlineStr">
        <is>
          <t>ок</t>
        </is>
      </c>
      <c r="R6" s="8" t="inlineStr">
        <is>
          <t>Профиль: номинал денга — 92% ваших покупок; R=2 при вашей медиане 2 | Бюджет: ~35,000 ₽ внутри коридора 0 – 118,000 ₽ (медиана ваших покупок 41,000 ₽) | Новизна: полный аналог в коллекции не найден</t>
        </is>
      </c>
      <c r="S6" s="9" t="n">
        <v>9</v>
      </c>
      <c r="T6" s="10" t="n">
        <v>9</v>
      </c>
    </row>
    <row r="7">
      <c r="A7" s="8" t="inlineStr">
        <is>
          <t>Alexan</t>
        </is>
      </c>
      <c r="B7" s="8" t="inlineStr">
        <is>
          <t>a4bc418f-2729-4431-bed3-7c123d84a2fe</t>
        </is>
      </c>
      <c r="C7" s="9" t="n">
        <v>5</v>
      </c>
      <c r="D7" s="8" t="inlineStr">
        <is>
          <t>7e44b6a7-3807-492c-9e26-25b3c0d41837</t>
        </is>
      </c>
      <c r="E7" s="8" t="inlineStr">
        <is>
          <t>7262А</t>
        </is>
      </c>
      <c r="F7" s="8" t="inlineStr">
        <is>
          <t>Тверь</t>
        </is>
      </c>
      <c r="G7" s="8" t="inlineStr">
        <is>
          <t>МБ</t>
        </is>
      </c>
      <c r="H7" s="8" t="inlineStr">
        <is>
          <t>денга</t>
        </is>
      </c>
      <c r="I7" s="9" t="n"/>
      <c r="J7" s="9" t="n">
        <v>2</v>
      </c>
      <c r="K7" s="10" t="n">
        <v>52000</v>
      </c>
      <c r="L7" s="8" t="inlineStr">
        <is>
          <t>княжество+князь</t>
        </is>
      </c>
      <c r="M7" s="11" t="n">
        <v>1</v>
      </c>
      <c r="N7" s="11" t="n">
        <v>0.3333333333333333</v>
      </c>
      <c r="O7" s="10" t="n">
        <v>0.8135593220338984</v>
      </c>
      <c r="P7" s="11" t="n">
        <v>0.6107344632768362</v>
      </c>
      <c r="Q7" s="8" t="inlineStr">
        <is>
          <t>ок</t>
        </is>
      </c>
      <c r="R7" s="8" t="inlineStr">
        <is>
          <t>Профиль: номинал денга — 92% ваших покупок; R=2 при вашей медиане 2 | Бюджет: ~52,000 ₽ внутри коридора 0 – 118,000 ₽ (медиана ваших покупок 41,000 ₽) | Новизна: ГП2 7262А в коллекции отсутствует</t>
        </is>
      </c>
      <c r="S7" s="9" t="n">
        <v>9</v>
      </c>
      <c r="T7" s="10" t="n">
        <v>9</v>
      </c>
    </row>
    <row r="8">
      <c r="A8" s="8" t="inlineStr">
        <is>
          <t>Гогер</t>
        </is>
      </c>
      <c r="B8" s="8" t="inlineStr">
        <is>
          <t>28b8882a-8843-4d87-8ed9-c2f47c82cde7</t>
        </is>
      </c>
      <c r="C8" s="9" t="n">
        <v>1</v>
      </c>
      <c r="D8" s="8" t="inlineStr">
        <is>
          <t>ca2321c1-421f-432f-baf9-697abf81475c</t>
        </is>
      </c>
      <c r="E8" s="8" t="inlineStr">
        <is>
          <t>1575</t>
        </is>
      </c>
      <c r="F8" s="8" t="inlineStr">
        <is>
          <t>СНВК</t>
        </is>
      </c>
      <c r="G8" s="9" t="n"/>
      <c r="H8" s="8" t="inlineStr">
        <is>
          <t>пуло</t>
        </is>
      </c>
      <c r="I8" s="9" t="n"/>
      <c r="J8" s="9" t="n">
        <v>2</v>
      </c>
      <c r="K8" s="10" t="n">
        <v>25000</v>
      </c>
      <c r="L8" s="8" t="inlineStr">
        <is>
          <t>ГП2 1575</t>
        </is>
      </c>
      <c r="M8" s="11" t="n">
        <v>1</v>
      </c>
      <c r="N8" s="11" t="n">
        <v>0.2555555555555555</v>
      </c>
      <c r="O8" s="10" t="n">
        <v>0.8095238095238095</v>
      </c>
      <c r="P8" s="11" t="n">
        <v>0.5706349206349206</v>
      </c>
      <c r="Q8" s="8" t="inlineStr">
        <is>
          <t>ок</t>
        </is>
      </c>
      <c r="R8" s="8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Новизна: ГП2 1575 в коллекции отсутствует</t>
        </is>
      </c>
      <c r="S8" s="9" t="n">
        <v>9</v>
      </c>
      <c r="T8" s="10" t="n">
        <v>4</v>
      </c>
    </row>
    <row r="9">
      <c r="A9" s="8" t="inlineStr">
        <is>
          <t>Гогер</t>
        </is>
      </c>
      <c r="B9" s="8" t="inlineStr">
        <is>
          <t>28b8882a-8843-4d87-8ed9-c2f47c82cde7</t>
        </is>
      </c>
      <c r="C9" s="9" t="n">
        <v>2</v>
      </c>
      <c r="D9" s="8" t="inlineStr">
        <is>
          <t>41503a2c-628a-4fdf-83de-573758371c78</t>
        </is>
      </c>
      <c r="E9" s="8" t="inlineStr">
        <is>
          <t>NEW</t>
        </is>
      </c>
      <c r="F9" s="8" t="inlineStr">
        <is>
          <t>СНВК</t>
        </is>
      </c>
      <c r="G9" s="9" t="n"/>
      <c r="H9" s="8" t="inlineStr">
        <is>
          <t>пуло</t>
        </is>
      </c>
      <c r="I9" s="9" t="n"/>
      <c r="J9" s="9" t="n">
        <v>2</v>
      </c>
      <c r="K9" s="10" t="n">
        <v>25000</v>
      </c>
      <c r="L9" s="8" t="inlineStr">
        <is>
          <t>княжество</t>
        </is>
      </c>
      <c r="M9" s="11" t="n">
        <v>1</v>
      </c>
      <c r="N9" s="11" t="n">
        <v>0.2555555555555555</v>
      </c>
      <c r="O9" s="10" t="n">
        <v>0.8095238095238095</v>
      </c>
      <c r="P9" s="11" t="n">
        <v>0.5706349206349206</v>
      </c>
      <c r="Q9" s="8" t="inlineStr">
        <is>
          <t>ок</t>
        </is>
      </c>
      <c r="R9" s="8" t="inlineStr">
        <is>
          <t>Профиль: R=2 при вашей медиане 1; княжество СНВК — 17% ваших покупок | Бюджет: ~25,000 ₽ внутри коридора 11,250 – 37,500 ₽ (медиана ваших покупок 22,500 ₽) | Новизна: полный аналог в коллекции не найден</t>
        </is>
      </c>
      <c r="S9" s="9" t="n">
        <v>9</v>
      </c>
      <c r="T9" s="10" t="n">
        <v>4</v>
      </c>
    </row>
    <row r="10">
      <c r="A10" s="8" t="inlineStr">
        <is>
          <t>Гогер</t>
        </is>
      </c>
      <c r="B10" s="8" t="inlineStr">
        <is>
          <t>28b8882a-8843-4d87-8ed9-c2f47c82cde7</t>
        </is>
      </c>
      <c r="C10" s="9" t="n">
        <v>3</v>
      </c>
      <c r="D10" s="8" t="inlineStr">
        <is>
          <t>3f02a85f-a67a-43bb-b8dd-a91945785e52</t>
        </is>
      </c>
      <c r="E10" s="8" t="inlineStr">
        <is>
          <t>7100A</t>
        </is>
      </c>
      <c r="F10" s="8" t="inlineStr">
        <is>
          <t>Тверь</t>
        </is>
      </c>
      <c r="G10" s="8" t="inlineStr">
        <is>
          <t>БА</t>
        </is>
      </c>
      <c r="H10" s="8" t="inlineStr">
        <is>
          <t>денга</t>
        </is>
      </c>
      <c r="I10" s="9" t="n"/>
      <c r="J10" s="9" t="n">
        <v>1</v>
      </c>
      <c r="K10" s="10" t="n">
        <v>20000</v>
      </c>
      <c r="L10" s="8" t="inlineStr">
        <is>
          <t>княжество+князь</t>
        </is>
      </c>
      <c r="M10" s="11" t="n">
        <v>1</v>
      </c>
      <c r="N10" s="11" t="n">
        <v>0.1733333333333333</v>
      </c>
      <c r="O10" s="10" t="n">
        <v>0.8095238095238095</v>
      </c>
      <c r="P10" s="11" t="n">
        <v>0.5295238095238095</v>
      </c>
      <c r="Q10" s="8" t="inlineStr">
        <is>
          <t>ок</t>
        </is>
      </c>
      <c r="R10" s="8" t="inlineStr">
        <is>
          <t>Профиль: R=1 при вашей медиане 1; номинал денга — 17% ваших покупок | Бюджет: ~20,000 ₽ внутри коридора 11,250 – 37,500 ₽ (медиана ваших покупок 22,500 ₽) | Новизна: ГП2 7100А в коллекции отсутствует</t>
        </is>
      </c>
      <c r="S10" s="9" t="n">
        <v>9</v>
      </c>
      <c r="T10" s="10" t="n">
        <v>4</v>
      </c>
    </row>
    <row r="11">
      <c r="A11" s="8" t="inlineStr">
        <is>
          <t>Гогер</t>
        </is>
      </c>
      <c r="B11" s="8" t="inlineStr">
        <is>
          <t>28b8882a-8843-4d87-8ed9-c2f47c82cde7</t>
        </is>
      </c>
      <c r="C11" s="9" t="n">
        <v>4</v>
      </c>
      <c r="D11" s="8" t="inlineStr">
        <is>
          <t>58458c6c-a7eb-4f54-a0f7-bb5faa835cde</t>
        </is>
      </c>
      <c r="E11" s="9" t="n"/>
      <c r="F11" s="8" t="inlineStr">
        <is>
          <t>Микулин</t>
        </is>
      </c>
      <c r="G11" s="9" t="n"/>
      <c r="H11" s="8" t="inlineStr">
        <is>
          <t>денга</t>
        </is>
      </c>
      <c r="I11" s="9" t="n"/>
      <c r="J11" s="9" t="n">
        <v>2</v>
      </c>
      <c r="K11" s="10" t="n">
        <v>35000</v>
      </c>
      <c r="L11" s="8" t="inlineStr">
        <is>
          <t>весь каталог</t>
        </is>
      </c>
      <c r="M11" s="11" t="n">
        <v>1</v>
      </c>
      <c r="N11" s="11" t="n">
        <v>0.1888888888888889</v>
      </c>
      <c r="O11" s="10" t="n">
        <v>0.04761904761904767</v>
      </c>
      <c r="P11" s="11" t="n">
        <v>0.3087301587301587</v>
      </c>
      <c r="Q11" s="8" t="inlineStr">
        <is>
          <t>ок</t>
        </is>
      </c>
      <c r="R11" s="8" t="inlineStr">
        <is>
          <t>Профиль: R=2 при вашей медиане 1; номинал денга — 17% ваших покупок | Бюджет: ~35,000 ₽ внутри коридора 11,250 – 37,500 ₽ (медиана ваших покупок 22,500 ₽) | Новизна: полный аналог в коллекции не найден</t>
        </is>
      </c>
      <c r="S11" s="9" t="n">
        <v>9</v>
      </c>
      <c r="T11" s="10" t="n">
        <v>4</v>
      </c>
    </row>
    <row r="12">
      <c r="A12" s="8" t="inlineStr">
        <is>
          <t>Гогер</t>
        </is>
      </c>
      <c r="B12" s="8" t="inlineStr">
        <is>
          <t>28b8882a-8843-4d87-8ed9-c2f47c82cde7</t>
        </is>
      </c>
      <c r="C12" s="9" t="n">
        <v>5</v>
      </c>
      <c r="D12" s="8" t="inlineStr">
        <is>
          <t>f6c08882-118c-434a-8f8f-c1c0c5ded8e8</t>
        </is>
      </c>
      <c r="E12" s="8" t="inlineStr">
        <is>
          <t>3004</t>
        </is>
      </c>
      <c r="F12" s="8" t="inlineStr">
        <is>
          <t>Серпухов</t>
        </is>
      </c>
      <c r="G12" s="8" t="inlineStr">
        <is>
          <t>Храбрый</t>
        </is>
      </c>
      <c r="H12" s="8" t="inlineStr">
        <is>
          <t>денга</t>
        </is>
      </c>
      <c r="I12" s="9" t="n"/>
      <c r="J12" s="9" t="n">
        <v>1</v>
      </c>
      <c r="K12" s="10" t="n">
        <v>50000</v>
      </c>
      <c r="L12" s="8" t="inlineStr">
        <is>
          <t>ГП2 3004</t>
        </is>
      </c>
      <c r="M12" s="11" t="n">
        <v>1</v>
      </c>
      <c r="N12" s="11" t="n">
        <v>0.1733333333333333</v>
      </c>
      <c r="O12" s="10" t="n">
        <v>0</v>
      </c>
      <c r="P12" s="11" t="n">
        <v>0.2866666666666667</v>
      </c>
      <c r="Q12" s="8" t="inlineStr">
        <is>
          <t>эскалация +122%</t>
        </is>
      </c>
      <c r="R12" s="8" t="inlineStr">
        <is>
          <t>Профиль: R=1 при вашей медиане 1; номинал денга — 17% ваших покупок | Бюджет: ~50,000 ₽ вне коридора 11,250 – 37,500 ₽ (+122% к вашей медиане) — требуется допуск | Новизна: ГП2 3004 в коллекции отсутствует</t>
        </is>
      </c>
      <c r="S12" s="9" t="n">
        <v>9</v>
      </c>
      <c r="T12" s="10" t="n">
        <v>4</v>
      </c>
    </row>
    <row r="13">
      <c r="A13" s="8" t="inlineStr">
        <is>
          <t>Городен</t>
        </is>
      </c>
      <c r="B13" s="8" t="inlineStr">
        <is>
          <t>d2209f0c-56c0-4bbc-a6f7-ed4bf639eec5</t>
        </is>
      </c>
      <c r="C13" s="9" t="n">
        <v>1</v>
      </c>
      <c r="D13" s="8" t="inlineStr">
        <is>
          <t>7e44b6a7-3807-492c-9e26-25b3c0d41837</t>
        </is>
      </c>
      <c r="E13" s="8" t="inlineStr">
        <is>
          <t>7262А</t>
        </is>
      </c>
      <c r="F13" s="8" t="inlineStr">
        <is>
          <t>Тверь</t>
        </is>
      </c>
      <c r="G13" s="8" t="inlineStr">
        <is>
          <t>МБ</t>
        </is>
      </c>
      <c r="H13" s="8" t="inlineStr">
        <is>
          <t>денга</t>
        </is>
      </c>
      <c r="I13" s="9" t="n"/>
      <c r="J13" s="9" t="n">
        <v>2</v>
      </c>
      <c r="K13" s="10" t="n">
        <v>52000</v>
      </c>
      <c r="L13" s="8" t="inlineStr">
        <is>
          <t>княжество+князь</t>
        </is>
      </c>
      <c r="M13" s="11" t="n">
        <v>1</v>
      </c>
      <c r="N13" s="11" t="n">
        <v>0.9888888888888889</v>
      </c>
      <c r="O13" s="10" t="n">
        <v>1</v>
      </c>
      <c r="P13" s="11" t="n">
        <v>0.9944444444444445</v>
      </c>
      <c r="Q13" s="8" t="inlineStr">
        <is>
          <t>ок</t>
        </is>
      </c>
      <c r="R13" s="8" t="inlineStr">
        <is>
          <t>Профиль: княжество Тверь — 67% ваших покупок; князь МБ — 67% ваших покупок; номинал денга — 100% ваших покупок | Бюджет: ~52,000 ₽ внутри коридора 21,000 – 88,500 ₽ (медиана ваших покупок 52,000 ₽) | Новизна: ГП2 7262А в коллекции отсутствует</t>
        </is>
      </c>
      <c r="S13" s="9" t="n">
        <v>10</v>
      </c>
      <c r="T13" s="10" t="n">
        <v>8</v>
      </c>
    </row>
    <row r="14">
      <c r="A14" s="8" t="inlineStr">
        <is>
          <t>Городен</t>
        </is>
      </c>
      <c r="B14" s="8" t="inlineStr">
        <is>
          <t>d2209f0c-56c0-4bbc-a6f7-ed4bf639eec5</t>
        </is>
      </c>
      <c r="C14" s="9" t="n">
        <v>2</v>
      </c>
      <c r="D14" s="8" t="inlineStr">
        <is>
          <t>f6c08882-118c-434a-8f8f-c1c0c5ded8e8</t>
        </is>
      </c>
      <c r="E14" s="8" t="inlineStr">
        <is>
          <t>3004</t>
        </is>
      </c>
      <c r="F14" s="8" t="inlineStr">
        <is>
          <t>Серпухов</t>
        </is>
      </c>
      <c r="G14" s="8" t="inlineStr">
        <is>
          <t>Храбрый</t>
        </is>
      </c>
      <c r="H14" s="8" t="inlineStr">
        <is>
          <t>денга</t>
        </is>
      </c>
      <c r="I14" s="9" t="n"/>
      <c r="J14" s="9" t="n">
        <v>1</v>
      </c>
      <c r="K14" s="10" t="n">
        <v>50000</v>
      </c>
      <c r="L14" s="8" t="inlineStr">
        <is>
          <t>ГП2 3004</t>
        </is>
      </c>
      <c r="M14" s="11" t="n">
        <v>1</v>
      </c>
      <c r="N14" s="11" t="n">
        <v>0.3222222222222222</v>
      </c>
      <c r="O14" s="10" t="n">
        <v>0.9407407407407408</v>
      </c>
      <c r="P14" s="11" t="n">
        <v>0.6433333333333333</v>
      </c>
      <c r="Q14" s="8" t="inlineStr">
        <is>
          <t>ок</t>
        </is>
      </c>
      <c r="R14" s="8" t="inlineStr">
        <is>
          <t>Профиль: номинал денга — 100% ваших покупок; R=1 при вашей медиане 1.5 | Бюджет: ~50,000 ₽ внутри коридора 21,000 – 88,500 ₽ (медиана ваших покупок 52,000 ₽) | Новизна: ГП2 3004 в коллекции отсутствует</t>
        </is>
      </c>
      <c r="S14" s="9" t="n">
        <v>10</v>
      </c>
      <c r="T14" s="10" t="n">
        <v>8</v>
      </c>
    </row>
    <row r="15">
      <c r="A15" s="8" t="inlineStr">
        <is>
          <t>Городен</t>
        </is>
      </c>
      <c r="B15" s="8" t="inlineStr">
        <is>
          <t>d2209f0c-56c0-4bbc-a6f7-ed4bf639eec5</t>
        </is>
      </c>
      <c r="C15" s="9" t="n">
        <v>3</v>
      </c>
      <c r="D15" s="8" t="inlineStr">
        <is>
          <t>9f301119-aba9-4b98-abb7-c932ff2bc323</t>
        </is>
      </c>
      <c r="E15" s="8" t="inlineStr">
        <is>
          <t>1000A</t>
        </is>
      </c>
      <c r="F15" s="8" t="inlineStr">
        <is>
          <t>Москва</t>
        </is>
      </c>
      <c r="G15" s="8" t="inlineStr">
        <is>
          <t>ДД</t>
        </is>
      </c>
      <c r="H15" s="8" t="inlineStr">
        <is>
          <t>денга</t>
        </is>
      </c>
      <c r="I15" s="9" t="n"/>
      <c r="J15" s="9" t="n">
        <v>4</v>
      </c>
      <c r="K15" s="10" t="n">
        <v>45000</v>
      </c>
      <c r="L15" s="8" t="inlineStr">
        <is>
          <t>княжество+князь</t>
        </is>
      </c>
      <c r="M15" s="11" t="n">
        <v>1</v>
      </c>
      <c r="N15" s="11" t="n">
        <v>0.2777777777777777</v>
      </c>
      <c r="O15" s="10" t="n">
        <v>0.7925925925925926</v>
      </c>
      <c r="P15" s="11" t="n">
        <v>0.5766666666666667</v>
      </c>
      <c r="Q15" s="8" t="inlineStr">
        <is>
          <t>ок</t>
        </is>
      </c>
      <c r="R15" s="8" t="inlineStr">
        <is>
          <t>Профиль: номинал денга — 100% ваших покупок; R=4 при вашей медиане 1.5 | Бюджет: ~45,000 ₽ внутри коридора 21,000 – 88,500 ₽ (медиана ваших покупок 52,000 ₽) | Новизна: ГП2 1000А в коллекции отсутствует</t>
        </is>
      </c>
      <c r="S15" s="9" t="n">
        <v>10</v>
      </c>
      <c r="T15" s="10" t="n">
        <v>8</v>
      </c>
    </row>
    <row r="16">
      <c r="A16" s="8" t="inlineStr">
        <is>
          <t>Городен</t>
        </is>
      </c>
      <c r="B16" s="8" t="inlineStr">
        <is>
          <t>d2209f0c-56c0-4bbc-a6f7-ed4bf639eec5</t>
        </is>
      </c>
      <c r="C16" s="9" t="n">
        <v>4</v>
      </c>
      <c r="D16" s="8" t="inlineStr">
        <is>
          <t>ee75e4bb-b407-49e7-9894-3d1616adca5b</t>
        </is>
      </c>
      <c r="E16" s="8" t="inlineStr">
        <is>
          <t>1300</t>
        </is>
      </c>
      <c r="F16" s="8" t="inlineStr">
        <is>
          <t>Москва</t>
        </is>
      </c>
      <c r="G16" s="8" t="inlineStr">
        <is>
          <t>ВД</t>
        </is>
      </c>
      <c r="H16" s="8" t="inlineStr">
        <is>
          <t>денга</t>
        </is>
      </c>
      <c r="I16" s="9" t="n"/>
      <c r="J16" s="9" t="n">
        <v>1.5</v>
      </c>
      <c r="K16" s="10" t="n">
        <v>40000</v>
      </c>
      <c r="L16" s="8" t="inlineStr">
        <is>
          <t>княжество+князь</t>
        </is>
      </c>
      <c r="M16" s="11" t="n">
        <v>1</v>
      </c>
      <c r="N16" s="11" t="n">
        <v>0.3333333333333333</v>
      </c>
      <c r="O16" s="10" t="n">
        <v>0.6444444444444444</v>
      </c>
      <c r="P16" s="11" t="n">
        <v>0.5600000000000001</v>
      </c>
      <c r="Q16" s="8" t="inlineStr">
        <is>
          <t>ок</t>
        </is>
      </c>
      <c r="R16" s="8" t="inlineStr">
        <is>
          <t>Профиль: номинал денга — 100% ваших покупок; R=1 при вашей медиане 1.5 | Бюджет: ~40,000 ₽ внутри коридора 21,000 – 88,500 ₽ (медиана ваших покупок 52,000 ₽) | Новизна: ГП2 1300 в коллекции отсутствует</t>
        </is>
      </c>
      <c r="S16" s="9" t="n">
        <v>10</v>
      </c>
      <c r="T16" s="10" t="n">
        <v>8</v>
      </c>
    </row>
    <row r="17">
      <c r="A17" s="8" t="inlineStr">
        <is>
          <t>Городен</t>
        </is>
      </c>
      <c r="B17" s="8" t="inlineStr">
        <is>
          <t>d2209f0c-56c0-4bbc-a6f7-ed4bf639eec5</t>
        </is>
      </c>
      <c r="C17" s="9" t="n">
        <v>5</v>
      </c>
      <c r="D17" s="8" t="inlineStr">
        <is>
          <t>58458c6c-a7eb-4f54-a0f7-bb5faa835cde</t>
        </is>
      </c>
      <c r="E17" s="9" t="n"/>
      <c r="F17" s="8" t="inlineStr">
        <is>
          <t>Микулин</t>
        </is>
      </c>
      <c r="G17" s="9" t="n"/>
      <c r="H17" s="8" t="inlineStr">
        <is>
          <t>денга</t>
        </is>
      </c>
      <c r="I17" s="9" t="n"/>
      <c r="J17" s="9" t="n">
        <v>2</v>
      </c>
      <c r="K17" s="10" t="n">
        <v>35000</v>
      </c>
      <c r="L17" s="8" t="inlineStr">
        <is>
          <t>весь каталог</t>
        </is>
      </c>
      <c r="M17" s="11" t="n">
        <v>1</v>
      </c>
      <c r="N17" s="11" t="n">
        <v>0.4027777777777778</v>
      </c>
      <c r="O17" s="10" t="n">
        <v>0.4962962962962963</v>
      </c>
      <c r="P17" s="11" t="n">
        <v>0.5502777777777779</v>
      </c>
      <c r="Q17" s="8" t="inlineStr">
        <is>
          <t>ок</t>
        </is>
      </c>
      <c r="R17" s="8" t="inlineStr">
        <is>
          <t>Профиль: номинал денга — 100% ваших покупок; R=2 при вашей медиане 1.5 | Бюджет: ~35,000 ₽ внутри коридора 21,000 – 88,500 ₽ (медиана ваших покупок 52,000 ₽) | Новизна: полный аналог в коллекции не найден</t>
        </is>
      </c>
      <c r="S17" s="9" t="n">
        <v>10</v>
      </c>
      <c r="T17" s="10" t="n">
        <v>8</v>
      </c>
    </row>
    <row r="18">
      <c r="A18" s="8" t="inlineStr">
        <is>
          <t>Лейбов</t>
        </is>
      </c>
      <c r="B18" s="8" t="inlineStr">
        <is>
          <t>c71269f7-e745-45ec-8fc9-186b8271d70a</t>
        </is>
      </c>
      <c r="C18" s="9" t="n">
        <v>1</v>
      </c>
      <c r="D18" s="8" t="inlineStr">
        <is>
          <t>ee75e4bb-b407-49e7-9894-3d1616adca5b</t>
        </is>
      </c>
      <c r="E18" s="8" t="inlineStr">
        <is>
          <t>1300</t>
        </is>
      </c>
      <c r="F18" s="8" t="inlineStr">
        <is>
          <t>Москва</t>
        </is>
      </c>
      <c r="G18" s="8" t="inlineStr">
        <is>
          <t>ВД</t>
        </is>
      </c>
      <c r="H18" s="8" t="inlineStr">
        <is>
          <t>денга</t>
        </is>
      </c>
      <c r="I18" s="9" t="n"/>
      <c r="J18" s="9" t="n">
        <v>1.5</v>
      </c>
      <c r="K18" s="10" t="n">
        <v>40000</v>
      </c>
      <c r="L18" s="8" t="inlineStr">
        <is>
          <t>княжество+князь</t>
        </is>
      </c>
      <c r="M18" s="11" t="n">
        <v>1</v>
      </c>
      <c r="N18" s="11" t="n">
        <v>1</v>
      </c>
      <c r="O18" s="10" t="n">
        <v>0</v>
      </c>
      <c r="P18" s="11" t="n">
        <v>0.7</v>
      </c>
      <c r="Q18" s="8" t="inlineStr">
        <is>
          <t>эскалация +220%</t>
        </is>
      </c>
      <c r="R18" s="8" t="inlineStr">
        <is>
          <t>Профиль: княжество Москва — 100% ваших покупок; князь ВД — 100% ваших покупок; номинал денга — 100% ваших покупок | Бюджет: ~40,000 ₽ вне коридора 6,250 – 18,750 ₽ (+220% к вашей медиане) — требуется допуск | Новизна: ГП2 1300 в коллекции отсутствует</t>
        </is>
      </c>
      <c r="S18" s="9" t="n">
        <v>10</v>
      </c>
      <c r="T18" s="10" t="n">
        <v>0</v>
      </c>
    </row>
    <row r="19">
      <c r="A19" s="8" t="inlineStr">
        <is>
          <t>Лейбов</t>
        </is>
      </c>
      <c r="B19" s="8" t="inlineStr">
        <is>
          <t>c71269f7-e745-45ec-8fc9-186b8271d70a</t>
        </is>
      </c>
      <c r="C19" s="9" t="n">
        <v>2</v>
      </c>
      <c r="D19" s="8" t="inlineStr">
        <is>
          <t>9f301119-aba9-4b98-abb7-c932ff2bc323</t>
        </is>
      </c>
      <c r="E19" s="8" t="inlineStr">
        <is>
          <t>1000A</t>
        </is>
      </c>
      <c r="F19" s="8" t="inlineStr">
        <is>
          <t>Москва</t>
        </is>
      </c>
      <c r="G19" s="8" t="inlineStr">
        <is>
          <t>ДД</t>
        </is>
      </c>
      <c r="H19" s="8" t="inlineStr">
        <is>
          <t>денга</t>
        </is>
      </c>
      <c r="I19" s="9" t="n"/>
      <c r="J19" s="9" t="n">
        <v>4</v>
      </c>
      <c r="K19" s="10" t="n">
        <v>45000</v>
      </c>
      <c r="L19" s="8" t="inlineStr">
        <is>
          <t>княжество+князь</t>
        </is>
      </c>
      <c r="M19" s="11" t="n">
        <v>1</v>
      </c>
      <c r="N19" s="11" t="n">
        <v>0.7692307692307692</v>
      </c>
      <c r="O19" s="10" t="n">
        <v>0</v>
      </c>
      <c r="P19" s="11" t="n">
        <v>0.5846153846153845</v>
      </c>
      <c r="Q19" s="8" t="inlineStr">
        <is>
          <t>эскалация +260%</t>
        </is>
      </c>
      <c r="R19" s="8" t="inlineStr">
        <is>
          <t>Профиль: княжество Москва — 100% ваших покупок; номинал денга — 100% ваших покупок | Бюджет: ~45,000 ₽ вне коридора 6,250 – 18,750 ₽ (+260% к вашей медиане) — требуется допуск | Новизна: ГП2 1000А в коллекции отсутствует</t>
        </is>
      </c>
      <c r="S19" s="9" t="n">
        <v>10</v>
      </c>
      <c r="T19" s="10" t="n">
        <v>0</v>
      </c>
    </row>
    <row r="20">
      <c r="A20" s="8" t="inlineStr">
        <is>
          <t>Лейбов</t>
        </is>
      </c>
      <c r="B20" s="8" t="inlineStr">
        <is>
          <t>c71269f7-e745-45ec-8fc9-186b8271d70a</t>
        </is>
      </c>
      <c r="C20" s="9" t="n">
        <v>3</v>
      </c>
      <c r="D20" s="8" t="inlineStr">
        <is>
          <t>fb5ea393-5e3f-44df-a801-a73814a4318f</t>
        </is>
      </c>
      <c r="E20" s="8" t="inlineStr">
        <is>
          <t>1111</t>
        </is>
      </c>
      <c r="F20" s="8" t="inlineStr">
        <is>
          <t>Москва</t>
        </is>
      </c>
      <c r="G20" s="8" t="inlineStr">
        <is>
          <t>ДД</t>
        </is>
      </c>
      <c r="H20" s="8" t="inlineStr">
        <is>
          <t>денга</t>
        </is>
      </c>
      <c r="I20" s="9" t="n"/>
      <c r="J20" s="9" t="n">
        <v>4</v>
      </c>
      <c r="K20" s="10" t="n">
        <v>40000</v>
      </c>
      <c r="L20" s="8" t="inlineStr">
        <is>
          <t>ГП2 1111</t>
        </is>
      </c>
      <c r="M20" s="11" t="n">
        <v>1</v>
      </c>
      <c r="N20" s="11" t="n">
        <v>0.7692307692307692</v>
      </c>
      <c r="O20" s="10" t="n">
        <v>0</v>
      </c>
      <c r="P20" s="11" t="n">
        <v>0.5846153846153845</v>
      </c>
      <c r="Q20" s="8" t="inlineStr">
        <is>
          <t>эскалация +220%</t>
        </is>
      </c>
      <c r="R20" s="8" t="inlineStr">
        <is>
          <t>Профиль: княжество Москва — 100% ваших покупок; номинал денга — 100% ваших покупок | Бюджет: ~40,000 ₽ вне коридора 6,250 – 18,750 ₽ (+220% к вашей медиане) — требуется допуск | Новизна: ГП2 1111 в коллекции отсутствует</t>
        </is>
      </c>
      <c r="S20" s="9" t="n">
        <v>10</v>
      </c>
      <c r="T20" s="10" t="n">
        <v>0</v>
      </c>
    </row>
    <row r="21">
      <c r="A21" s="8" t="inlineStr">
        <is>
          <t>Лейбов</t>
        </is>
      </c>
      <c r="B21" s="8" t="inlineStr">
        <is>
          <t>c71269f7-e745-45ec-8fc9-186b8271d70a</t>
        </is>
      </c>
      <c r="C21" s="9" t="n">
        <v>4</v>
      </c>
      <c r="D21" s="8" t="inlineStr">
        <is>
          <t>58458c6c-a7eb-4f54-a0f7-bb5faa835cde</t>
        </is>
      </c>
      <c r="E21" s="9" t="n"/>
      <c r="F21" s="8" t="inlineStr">
        <is>
          <t>Микулин</t>
        </is>
      </c>
      <c r="G21" s="9" t="n"/>
      <c r="H21" s="8" t="inlineStr">
        <is>
          <t>денга</t>
        </is>
      </c>
      <c r="I21" s="9" t="n"/>
      <c r="J21" s="9" t="n">
        <v>2</v>
      </c>
      <c r="K21" s="10" t="n">
        <v>35000</v>
      </c>
      <c r="L21" s="8" t="inlineStr">
        <is>
          <t>весь каталог</t>
        </is>
      </c>
      <c r="M21" s="11" t="n">
        <v>1</v>
      </c>
      <c r="N21" s="11" t="n">
        <v>0.3</v>
      </c>
      <c r="O21" s="10" t="n">
        <v>0</v>
      </c>
      <c r="P21" s="11" t="n">
        <v>0.35</v>
      </c>
      <c r="Q21" s="8" t="inlineStr">
        <is>
          <t>эскалация +180%</t>
        </is>
      </c>
      <c r="R21" s="8" t="inlineStr">
        <is>
          <t>Профиль: номинал денга — 100% ваших покупок | Бюджет: ~35,000 ₽ вне коридора 6,250 – 18,750 ₽ (+180% к вашей медиане) — требуется допуск | Новизна: полный аналог в коллекции не найден</t>
        </is>
      </c>
      <c r="S21" s="9" t="n">
        <v>10</v>
      </c>
      <c r="T21" s="10" t="n">
        <v>0</v>
      </c>
    </row>
    <row r="22">
      <c r="A22" s="8" t="inlineStr">
        <is>
          <t>Лейбов</t>
        </is>
      </c>
      <c r="B22" s="8" t="inlineStr">
        <is>
          <t>c71269f7-e745-45ec-8fc9-186b8271d70a</t>
        </is>
      </c>
      <c r="C22" s="9" t="n">
        <v>5</v>
      </c>
      <c r="D22" s="8" t="inlineStr">
        <is>
          <t>f6c08882-118c-434a-8f8f-c1c0c5ded8e8</t>
        </is>
      </c>
      <c r="E22" s="8" t="inlineStr">
        <is>
          <t>3004</t>
        </is>
      </c>
      <c r="F22" s="8" t="inlineStr">
        <is>
          <t>Серпухов</t>
        </is>
      </c>
      <c r="G22" s="8" t="inlineStr">
        <is>
          <t>Храбрый</t>
        </is>
      </c>
      <c r="H22" s="8" t="inlineStr">
        <is>
          <t>денга</t>
        </is>
      </c>
      <c r="I22" s="9" t="n"/>
      <c r="J22" s="9" t="n">
        <v>1</v>
      </c>
      <c r="K22" s="10" t="n">
        <v>50000</v>
      </c>
      <c r="L22" s="8" t="inlineStr">
        <is>
          <t>ГП2 3004</t>
        </is>
      </c>
      <c r="M22" s="11" t="n">
        <v>1</v>
      </c>
      <c r="N22" s="11" t="n">
        <v>0.2307692307692308</v>
      </c>
      <c r="O22" s="10" t="n">
        <v>0</v>
      </c>
      <c r="P22" s="11" t="n">
        <v>0.3153846153846154</v>
      </c>
      <c r="Q22" s="8" t="inlineStr">
        <is>
          <t>эскалация +300%</t>
        </is>
      </c>
      <c r="R22" s="8" t="inlineStr">
        <is>
          <t>Профиль: номинал денга — 100% ваших покупок | Бюджет: ~50,000 ₽ вне коридора 6,250 – 18,750 ₽ (+300% к вашей медиане) — требуется допуск | Новизна: ГП2 3004 в коллекции отсутствует</t>
        </is>
      </c>
      <c r="S22" s="9" t="n">
        <v>10</v>
      </c>
      <c r="T22" s="10" t="n">
        <v>0</v>
      </c>
    </row>
    <row r="23">
      <c r="A23" s="8" t="inlineStr">
        <is>
          <t>Шувалов</t>
        </is>
      </c>
      <c r="B23" s="8" t="inlineStr">
        <is>
          <t>c12aca37-9c5e-4167-bd84-a68f382d657a</t>
        </is>
      </c>
      <c r="C23" s="9" t="n">
        <v>1</v>
      </c>
      <c r="D23" s="8" t="inlineStr">
        <is>
          <t>ee75e4bb-b407-49e7-9894-3d1616adca5b</t>
        </is>
      </c>
      <c r="E23" s="8" t="inlineStr">
        <is>
          <t>1300</t>
        </is>
      </c>
      <c r="F23" s="8" t="inlineStr">
        <is>
          <t>Москва</t>
        </is>
      </c>
      <c r="G23" s="8" t="inlineStr">
        <is>
          <t>ВД</t>
        </is>
      </c>
      <c r="H23" s="8" t="inlineStr">
        <is>
          <t>денга</t>
        </is>
      </c>
      <c r="I23" s="9" t="n"/>
      <c r="J23" s="9" t="n">
        <v>1.5</v>
      </c>
      <c r="K23" s="10" t="n">
        <v>40000</v>
      </c>
      <c r="L23" s="8" t="inlineStr">
        <is>
          <t>княжество+князь</t>
        </is>
      </c>
      <c r="M23" s="11" t="n">
        <v>1</v>
      </c>
      <c r="N23" s="11" t="n">
        <v>0.9888888888888889</v>
      </c>
      <c r="O23" s="10" t="n">
        <v>0.8666666666666667</v>
      </c>
      <c r="P23" s="11" t="n">
        <v>0.9544444444444444</v>
      </c>
      <c r="Q23" s="8" t="inlineStr">
        <is>
          <t>ок</t>
        </is>
      </c>
      <c r="R23" s="8" t="inlineStr">
        <is>
          <t>Профиль: княжество Москва — 26% ваших покупок; князь ВД — 26% ваших покупок; номинал денга — 78% ваших покупок | Бюджет: ~40,000 ₽ внутри коридора 0 – 75,000 ₽ (медиана ваших покупок 35,000 ₽) | Новизна: ГП2 1300 в коллекции отсутствует</t>
        </is>
      </c>
      <c r="S23" s="9" t="n">
        <v>8</v>
      </c>
      <c r="T23" s="10" t="n">
        <v>8</v>
      </c>
    </row>
    <row r="24">
      <c r="A24" s="8" t="inlineStr">
        <is>
          <t>Шувалов</t>
        </is>
      </c>
      <c r="B24" s="8" t="inlineStr">
        <is>
          <t>c12aca37-9c5e-4167-bd84-a68f382d657a</t>
        </is>
      </c>
      <c r="C24" s="9" t="n">
        <v>2</v>
      </c>
      <c r="D24" s="8" t="inlineStr">
        <is>
          <t>fb5ea393-5e3f-44df-a801-a73814a4318f</t>
        </is>
      </c>
      <c r="E24" s="8" t="inlineStr">
        <is>
          <t>1111</t>
        </is>
      </c>
      <c r="F24" s="8" t="inlineStr">
        <is>
          <t>Москва</t>
        </is>
      </c>
      <c r="G24" s="8" t="inlineStr">
        <is>
          <t>ДД</t>
        </is>
      </c>
      <c r="H24" s="8" t="inlineStr">
        <is>
          <t>денга</t>
        </is>
      </c>
      <c r="I24" s="9" t="n"/>
      <c r="J24" s="9" t="n">
        <v>4</v>
      </c>
      <c r="K24" s="10" t="n">
        <v>40000</v>
      </c>
      <c r="L24" s="8" t="inlineStr">
        <is>
          <t>ГП2 1111</t>
        </is>
      </c>
      <c r="M24" s="11" t="n">
        <v>1</v>
      </c>
      <c r="N24" s="11" t="n">
        <v>0.7733333333333334</v>
      </c>
      <c r="O24" s="10" t="n">
        <v>0.8666666666666667</v>
      </c>
      <c r="P24" s="11" t="n">
        <v>0.8466666666666667</v>
      </c>
      <c r="Q24" s="8" t="inlineStr">
        <is>
          <t>ок</t>
        </is>
      </c>
      <c r="R24" s="8" t="inlineStr">
        <is>
          <t>Профиль: княжество Москва — 26% ваших покупок; номинал денга — 78% ваших покупок; R=4 при вашей медиане 1 | Бюджет: ~40,000 ₽ внутри коридора 0 – 75,000 ₽ (медиана ваших покупок 35,000 ₽) | Новизна: ГП2 1111 в коллекции отсутствует</t>
        </is>
      </c>
      <c r="S24" s="9" t="n">
        <v>8</v>
      </c>
      <c r="T24" s="10" t="n">
        <v>8</v>
      </c>
    </row>
    <row r="25">
      <c r="A25" s="8" t="inlineStr">
        <is>
          <t>Шувалов</t>
        </is>
      </c>
      <c r="B25" s="8" t="inlineStr">
        <is>
          <t>c12aca37-9c5e-4167-bd84-a68f382d657a</t>
        </is>
      </c>
      <c r="C25" s="9" t="n">
        <v>3</v>
      </c>
      <c r="D25" s="8" t="inlineStr">
        <is>
          <t>3f02a85f-a67a-43bb-b8dd-a91945785e52</t>
        </is>
      </c>
      <c r="E25" s="8" t="inlineStr">
        <is>
          <t>7100A</t>
        </is>
      </c>
      <c r="F25" s="8" t="inlineStr">
        <is>
          <t>Тверь</t>
        </is>
      </c>
      <c r="G25" s="8" t="inlineStr">
        <is>
          <t>БА</t>
        </is>
      </c>
      <c r="H25" s="8" t="inlineStr">
        <is>
          <t>денга</t>
        </is>
      </c>
      <c r="I25" s="9" t="n"/>
      <c r="J25" s="9" t="n">
        <v>1</v>
      </c>
      <c r="K25" s="10" t="n">
        <v>20000</v>
      </c>
      <c r="L25" s="8" t="inlineStr">
        <is>
          <t>княжество+князь</t>
        </is>
      </c>
      <c r="M25" s="11" t="n">
        <v>1</v>
      </c>
      <c r="N25" s="11" t="n">
        <v>0.9199999999999999</v>
      </c>
      <c r="O25" s="10" t="n">
        <v>0.6</v>
      </c>
      <c r="P25" s="11" t="n">
        <v>0.8399999999999999</v>
      </c>
      <c r="Q25" s="8" t="inlineStr">
        <is>
          <t>ок</t>
        </is>
      </c>
      <c r="R25" s="8" t="inlineStr">
        <is>
          <t>Профиль: княжество Тверь — 26% ваших покупок; номинал денга — 78% ваших покупок; R=1 при вашей медиане 1 | Бюджет: ~20,000 ₽ внутри коридора 0 – 75,000 ₽ (медиана ваших покупок 35,000 ₽) | Новизна: ГП2 7100А в коллекции отсутствует</t>
        </is>
      </c>
      <c r="S25" s="9" t="n">
        <v>8</v>
      </c>
      <c r="T25" s="10" t="n">
        <v>8</v>
      </c>
    </row>
    <row r="26">
      <c r="A26" s="8" t="inlineStr">
        <is>
          <t>Шувалов</t>
        </is>
      </c>
      <c r="B26" s="8" t="inlineStr">
        <is>
          <t>c12aca37-9c5e-4167-bd84-a68f382d657a</t>
        </is>
      </c>
      <c r="C26" s="9" t="n">
        <v>4</v>
      </c>
      <c r="D26" s="8" t="inlineStr">
        <is>
          <t>9f301119-aba9-4b98-abb7-c932ff2bc323</t>
        </is>
      </c>
      <c r="E26" s="8" t="inlineStr">
        <is>
          <t>1000A</t>
        </is>
      </c>
      <c r="F26" s="8" t="inlineStr">
        <is>
          <t>Москва</t>
        </is>
      </c>
      <c r="G26" s="8" t="inlineStr">
        <is>
          <t>ДД</t>
        </is>
      </c>
      <c r="H26" s="8" t="inlineStr">
        <is>
          <t>денга</t>
        </is>
      </c>
      <c r="I26" s="9" t="n"/>
      <c r="J26" s="9" t="n">
        <v>4</v>
      </c>
      <c r="K26" s="10" t="n">
        <v>45000</v>
      </c>
      <c r="L26" s="8" t="inlineStr">
        <is>
          <t>княжество+князь</t>
        </is>
      </c>
      <c r="M26" s="11" t="n">
        <v>1</v>
      </c>
      <c r="N26" s="11" t="n">
        <v>0.7733333333333334</v>
      </c>
      <c r="O26" s="10" t="n">
        <v>0.7333333333333334</v>
      </c>
      <c r="P26" s="11" t="n">
        <v>0.8066666666666666</v>
      </c>
      <c r="Q26" s="8" t="inlineStr">
        <is>
          <t>ок</t>
        </is>
      </c>
      <c r="R26" s="8" t="inlineStr">
        <is>
          <t>Профиль: княжество Москва — 26% ваших покупок; номинал денга — 78% ваших покупок; R=4 при вашей медиане 1 | Бюджет: ~45,000 ₽ внутри коридора 0 – 75,000 ₽ (медиана ваших покупок 35,000 ₽) | Новизна: ГП2 1000А в коллекции отсутствует</t>
        </is>
      </c>
      <c r="S26" s="9" t="n">
        <v>8</v>
      </c>
      <c r="T26" s="10" t="n">
        <v>8</v>
      </c>
    </row>
    <row r="27">
      <c r="A27" s="8" t="inlineStr">
        <is>
          <t>Шувалов</t>
        </is>
      </c>
      <c r="B27" s="8" t="inlineStr">
        <is>
          <t>c12aca37-9c5e-4167-bd84-a68f382d657a</t>
        </is>
      </c>
      <c r="C27" s="9" t="n">
        <v>5</v>
      </c>
      <c r="D27" s="8" t="inlineStr">
        <is>
          <t>7e44b6a7-3807-492c-9e26-25b3c0d41837</t>
        </is>
      </c>
      <c r="E27" s="8" t="inlineStr">
        <is>
          <t>7262А</t>
        </is>
      </c>
      <c r="F27" s="8" t="inlineStr">
        <is>
          <t>Тверь</t>
        </is>
      </c>
      <c r="G27" s="8" t="inlineStr">
        <is>
          <t>МБ</t>
        </is>
      </c>
      <c r="H27" s="8" t="inlineStr">
        <is>
          <t>денга</t>
        </is>
      </c>
      <c r="I27" s="9" t="n"/>
      <c r="J27" s="9" t="n">
        <v>2</v>
      </c>
      <c r="K27" s="10" t="n">
        <v>52000</v>
      </c>
      <c r="L27" s="8" t="inlineStr">
        <is>
          <t>княжество+князь</t>
        </is>
      </c>
      <c r="M27" s="11" t="n">
        <v>1</v>
      </c>
      <c r="N27" s="11" t="n">
        <v>0.8577777777777778</v>
      </c>
      <c r="O27" s="10" t="n">
        <v>0.5466666666666666</v>
      </c>
      <c r="P27" s="11" t="n">
        <v>0.7928888888888888</v>
      </c>
      <c r="Q27" s="8" t="inlineStr">
        <is>
          <t>ок</t>
        </is>
      </c>
      <c r="R27" s="8" t="inlineStr">
        <is>
          <t>Профиль: княжество Тверь — 26% ваших покупок; номинал денга — 78% ваших покупок; R=2 при вашей медиане 1 | Бюджет: ~52,000 ₽ внутри коридора 0 – 75,000 ₽ (медиана ваших покупок 35,000 ₽) | Новизна: ГП2 7262А в коллекции отсутствует</t>
        </is>
      </c>
      <c r="S27" s="9" t="n">
        <v>8</v>
      </c>
      <c r="T27" s="1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6" customWidth="1" min="4" max="4"/>
    <col width="19" customWidth="1" min="5" max="5"/>
    <col width="14" customWidth="1" min="6" max="6"/>
    <col width="18" customWidth="1" min="7" max="7"/>
    <col width="15" customWidth="1" min="8" max="8"/>
    <col width="19" customWidth="1" min="9" max="9"/>
    <col width="20" customWidth="1" min="10" max="10"/>
    <col width="16" customWidth="1" min="11" max="11"/>
    <col width="18" customWidth="1" min="12" max="12"/>
    <col width="34" customWidth="1" min="13" max="13"/>
    <col width="23" customWidth="1" min="14" max="14"/>
  </cols>
  <sheetData>
    <row r="1">
      <c r="A1" s="6" t="inlineStr">
        <is>
          <t>Профили: интересы и бюджетный коридор</t>
        </is>
      </c>
    </row>
    <row r="2">
      <c r="A2" s="7" t="inlineStr">
        <is>
          <t>ID клиента</t>
        </is>
      </c>
      <c r="B2" s="7" t="inlineStr">
        <is>
          <t>Клиент</t>
        </is>
      </c>
      <c r="C2" s="7" t="inlineStr">
        <is>
          <t>Сделок</t>
        </is>
      </c>
      <c r="D2" s="7" t="inlineStr">
        <is>
          <t>Первая сделка</t>
        </is>
      </c>
      <c r="E2" s="7" t="inlineStr">
        <is>
          <t>Последняя сделка</t>
        </is>
      </c>
      <c r="F2" s="7" t="inlineStr">
        <is>
          <t>Бюджет, низ</t>
        </is>
      </c>
      <c r="G2" s="7" t="inlineStr">
        <is>
          <t>Бюджет, медиана</t>
        </is>
      </c>
      <c r="H2" s="7" t="inlineStr">
        <is>
          <t>Бюджет, верх</t>
        </is>
      </c>
      <c r="I2" s="7" t="inlineStr">
        <is>
          <t>Диапазон цен</t>
        </is>
      </c>
      <c r="J2" s="7" t="inlineStr">
        <is>
          <t>Любимое княжество</t>
        </is>
      </c>
      <c r="K2" s="7" t="inlineStr">
        <is>
          <t>Любимый князь</t>
        </is>
      </c>
      <c r="L2" s="7" t="inlineStr">
        <is>
          <t>Любимый номинал</t>
        </is>
      </c>
      <c r="M2" s="7" t="inlineStr">
        <is>
          <t>Частый мотив</t>
        </is>
      </c>
      <c r="N2" s="7" t="inlineStr">
        <is>
          <t>Медианная редкость R</t>
        </is>
      </c>
    </row>
    <row r="3">
      <c r="A3" s="8" t="inlineStr">
        <is>
          <t>a4bc418f-2729-4431-bed3-7c123d84a2fe</t>
        </is>
      </c>
      <c r="B3" s="8" t="inlineStr">
        <is>
          <t>Alexan</t>
        </is>
      </c>
      <c r="C3" s="9" t="n">
        <v>13</v>
      </c>
      <c r="D3" s="9" t="n">
        <v>45992</v>
      </c>
      <c r="E3" s="9" t="n">
        <v>46100</v>
      </c>
      <c r="F3" s="10" t="n">
        <v>0</v>
      </c>
      <c r="G3" s="10" t="n">
        <v>41000</v>
      </c>
      <c r="H3" s="10" t="n">
        <v>118000</v>
      </c>
      <c r="I3" s="8" t="inlineStr">
        <is>
          <t>14,000 – 120,000</t>
        </is>
      </c>
      <c r="J3" s="8" t="inlineStr">
        <is>
          <t>москва (38%)</t>
        </is>
      </c>
      <c r="K3" s="8" t="inlineStr">
        <is>
          <t>вд (31%)</t>
        </is>
      </c>
      <c r="L3" s="8" t="inlineStr">
        <is>
          <t>денга (92%)</t>
        </is>
      </c>
      <c r="M3" s="8" t="inlineStr">
        <is>
          <t>строчник, подражание, двуименка</t>
        </is>
      </c>
      <c r="N3" s="9" t="n">
        <v>2</v>
      </c>
    </row>
    <row r="4">
      <c r="A4" s="8" t="inlineStr">
        <is>
          <t>28b8882a-8843-4d87-8ed9-c2f47c82cde7</t>
        </is>
      </c>
      <c r="B4" s="8" t="inlineStr">
        <is>
          <t>Гогер</t>
        </is>
      </c>
      <c r="C4" s="9" t="n">
        <v>6</v>
      </c>
      <c r="D4" s="9" t="n">
        <v>46109</v>
      </c>
      <c r="E4" s="9" t="n">
        <v>46154</v>
      </c>
      <c r="F4" s="10" t="n">
        <v>11250</v>
      </c>
      <c r="G4" s="10" t="n">
        <v>22500</v>
      </c>
      <c r="H4" s="10" t="n">
        <v>37500</v>
      </c>
      <c r="I4" s="8" t="inlineStr">
        <is>
          <t>15,000 – 35,000</t>
        </is>
      </c>
      <c r="J4" s="8" t="inlineStr">
        <is>
          <t>можайск (83%)</t>
        </is>
      </c>
      <c r="K4" s="8" t="inlineStr">
        <is>
          <t>ад (100%)</t>
        </is>
      </c>
      <c r="L4" s="8" t="inlineStr">
        <is>
          <t>полуденга (83%)</t>
        </is>
      </c>
      <c r="M4" s="8" t="inlineStr">
        <is>
          <t>воин, рамке, голова</t>
        </is>
      </c>
      <c r="N4" s="9" t="n">
        <v>1</v>
      </c>
    </row>
    <row r="5">
      <c r="A5" s="8" t="inlineStr">
        <is>
          <t>d2209f0c-56c0-4bbc-a6f7-ed4bf639eec5</t>
        </is>
      </c>
      <c r="B5" s="8" t="inlineStr">
        <is>
          <t>Городен</t>
        </is>
      </c>
      <c r="C5" s="9" t="n">
        <v>3</v>
      </c>
      <c r="D5" s="9" t="n">
        <v>46163</v>
      </c>
      <c r="E5" s="9" t="n">
        <v>46181</v>
      </c>
      <c r="F5" s="10" t="n">
        <v>21000</v>
      </c>
      <c r="G5" s="10" t="n">
        <v>52000</v>
      </c>
      <c r="H5" s="10" t="n">
        <v>88500</v>
      </c>
      <c r="I5" s="8" t="inlineStr">
        <is>
          <t>35,000 – 80,000</t>
        </is>
      </c>
      <c r="J5" s="8" t="inlineStr">
        <is>
          <t>тверь (67%)</t>
        </is>
      </c>
      <c r="K5" s="8" t="inlineStr">
        <is>
          <t>мб (67%)</t>
        </is>
      </c>
      <c r="L5" s="8" t="inlineStr">
        <is>
          <t>денга (100%)</t>
        </is>
      </c>
      <c r="M5" s="8" t="inlineStr">
        <is>
          <t>строчник, охота, голова</t>
        </is>
      </c>
      <c r="N5" s="9" t="n">
        <v>1.5</v>
      </c>
    </row>
    <row r="6">
      <c r="A6" s="8" t="inlineStr">
        <is>
          <t>c71269f7-e745-45ec-8fc9-186b8271d70a</t>
        </is>
      </c>
      <c r="B6" s="8" t="inlineStr">
        <is>
          <t>Лейбов</t>
        </is>
      </c>
      <c r="C6" s="9" t="n">
        <v>2</v>
      </c>
      <c r="D6" s="9" t="n">
        <v>46190</v>
      </c>
      <c r="E6" s="9" t="n">
        <v>46199</v>
      </c>
      <c r="F6" s="10" t="n">
        <v>6250</v>
      </c>
      <c r="G6" s="10" t="n">
        <v>12500</v>
      </c>
      <c r="H6" s="10" t="n">
        <v>18750</v>
      </c>
      <c r="I6" s="8" t="inlineStr">
        <is>
          <t>12,000 – 13,000</t>
        </is>
      </c>
      <c r="J6" s="8" t="inlineStr">
        <is>
          <t>москва (100%)</t>
        </is>
      </c>
      <c r="K6" s="8" t="inlineStr">
        <is>
          <t>вд (100%)</t>
        </is>
      </c>
      <c r="L6" s="8" t="inlineStr">
        <is>
          <t>денга (100%)</t>
        </is>
      </c>
      <c r="M6" s="8" t="inlineStr">
        <is>
          <t>оставите, безумье, живы</t>
        </is>
      </c>
      <c r="N6" s="9" t="n"/>
    </row>
    <row r="7">
      <c r="A7" s="8" t="inlineStr">
        <is>
          <t>c12aca37-9c5e-4167-bd84-a68f382d657a</t>
        </is>
      </c>
      <c r="B7" s="8" t="inlineStr">
        <is>
          <t>Шувалов</t>
        </is>
      </c>
      <c r="C7" s="9" t="n">
        <v>23</v>
      </c>
      <c r="D7" s="9" t="n">
        <v>46208</v>
      </c>
      <c r="E7" s="9" t="n">
        <v>46294</v>
      </c>
      <c r="F7" s="10" t="n">
        <v>0</v>
      </c>
      <c r="G7" s="10" t="n">
        <v>35000</v>
      </c>
      <c r="H7" s="10" t="n">
        <v>75000</v>
      </c>
      <c r="I7" s="8" t="inlineStr">
        <is>
          <t>10,000 – 100,000</t>
        </is>
      </c>
      <c r="J7" s="8" t="inlineStr">
        <is>
          <t>тверь (26%)</t>
        </is>
      </c>
      <c r="K7" s="8" t="inlineStr">
        <is>
          <t>вд (26%)</t>
        </is>
      </c>
      <c r="L7" s="8" t="inlineStr">
        <is>
          <t>денга (78%)</t>
        </is>
      </c>
      <c r="M7" s="8" t="inlineStr">
        <is>
          <t>воин, влево, строчник</t>
        </is>
      </c>
      <c r="N7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2" customWidth="1" min="7" max="7"/>
    <col width="13" customWidth="1" min="8" max="8"/>
    <col width="13" customWidth="1" min="9" max="9"/>
    <col width="13" customWidth="1" min="10" max="10"/>
    <col width="15" customWidth="1" min="11" max="11"/>
    <col width="15" customWidth="1" min="12" max="12"/>
    <col width="13" customWidth="1" min="13" max="13"/>
    <col width="39" customWidth="1" min="14" max="14"/>
    <col width="13" customWidth="1" min="15" max="15"/>
    <col width="13" customWidth="1" min="16" max="16"/>
    <col width="13" customWidth="1" min="17" max="17"/>
    <col width="20" customWidth="1" min="18" max="18"/>
    <col width="18" customWidth="1" min="19" max="19"/>
    <col width="16" customWidth="1" min="20" max="20"/>
    <col width="32" customWidth="1" min="21" max="21"/>
  </cols>
  <sheetData>
    <row r="1">
      <c r="A1" s="6" t="inlineStr">
        <is>
          <t>Каталог: проданные и доступные монеты (цены кандидатов оценены по аналогам)</t>
        </is>
      </c>
    </row>
    <row r="2">
      <c r="A2" s="7" t="inlineStr">
        <is>
          <t>ID монеты</t>
        </is>
      </c>
      <c r="B2" s="7" t="inlineStr">
        <is>
          <t>СТАТУС</t>
        </is>
      </c>
      <c r="C2" s="7" t="inlineStr">
        <is>
          <t>ГП2</t>
        </is>
      </c>
      <c r="D2" s="7" t="inlineStr">
        <is>
          <t>Княжество</t>
        </is>
      </c>
      <c r="E2" s="7" t="inlineStr">
        <is>
          <t>Князь</t>
        </is>
      </c>
      <c r="F2" s="7" t="inlineStr">
        <is>
          <t>номинал</t>
        </is>
      </c>
      <c r="G2" s="7" t="inlineStr">
        <is>
          <t>описание</t>
        </is>
      </c>
      <c r="H2" s="7" t="inlineStr">
        <is>
          <t>R</t>
        </is>
      </c>
      <c r="I2" s="7" t="inlineStr">
        <is>
          <t>вход</t>
        </is>
      </c>
      <c r="J2" s="7" t="inlineStr">
        <is>
          <t>у кого</t>
        </is>
      </c>
      <c r="K2" s="7" t="inlineStr">
        <is>
          <t>ДАТА ПОКУПКИ</t>
        </is>
      </c>
      <c r="L2" s="7" t="inlineStr">
        <is>
          <t>ДАТА ПРОДАЖИ</t>
        </is>
      </c>
      <c r="M2" s="7" t="inlineStr">
        <is>
          <t>продажа</t>
        </is>
      </c>
      <c r="N2" s="7" t="inlineStr">
        <is>
          <t>ID клиента</t>
        </is>
      </c>
      <c r="O2" s="7" t="inlineStr">
        <is>
          <t>кому</t>
        </is>
      </c>
      <c r="P2" s="7" t="inlineStr">
        <is>
          <t>маржа</t>
        </is>
      </c>
      <c r="Q2" s="7" t="inlineStr">
        <is>
          <t>%</t>
        </is>
      </c>
      <c r="R2" s="7" t="inlineStr">
        <is>
          <t>цена_рекомендации</t>
        </is>
      </c>
      <c r="S2" s="7" t="inlineStr">
        <is>
          <t>цена_источник</t>
        </is>
      </c>
      <c r="T2" s="7" t="inlineStr">
        <is>
          <t>цена_аналогов</t>
        </is>
      </c>
      <c r="U2" s="7" t="inlineStr">
        <is>
          <t>атрибут_источник</t>
        </is>
      </c>
    </row>
    <row r="3">
      <c r="A3" s="8" t="inlineStr">
        <is>
          <t>162172af-d06e-4e60-9406-eaccb3e93462</t>
        </is>
      </c>
      <c r="B3" s="8" t="inlineStr">
        <is>
          <t>продана</t>
        </is>
      </c>
      <c r="C3" s="8" t="inlineStr">
        <is>
          <t>3610C</t>
        </is>
      </c>
      <c r="D3" s="8" t="inlineStr">
        <is>
          <t>Можайск</t>
        </is>
      </c>
      <c r="E3" s="8" t="inlineStr">
        <is>
          <t>АД</t>
        </is>
      </c>
      <c r="F3" s="8" t="inlineStr">
        <is>
          <t>денга</t>
        </is>
      </c>
      <c r="G3" s="8" t="inlineStr">
        <is>
          <t>кентавр/строчник</t>
        </is>
      </c>
      <c r="H3" s="9" t="n">
        <v>5</v>
      </c>
      <c r="I3" s="10" t="n">
        <v>10000</v>
      </c>
      <c r="J3" s="8" t="inlineStr">
        <is>
          <t>Итальянец</t>
        </is>
      </c>
      <c r="K3" s="9" t="n"/>
      <c r="L3" s="9" t="n">
        <v>45992</v>
      </c>
      <c r="M3" s="10" t="n">
        <v>14000</v>
      </c>
      <c r="N3" s="8" t="inlineStr">
        <is>
          <t>a4bc418f-2729-4431-bed3-7c123d84a2fe</t>
        </is>
      </c>
      <c r="O3" s="8" t="inlineStr">
        <is>
          <t>Alexan</t>
        </is>
      </c>
      <c r="P3" s="10" t="n">
        <v>4000</v>
      </c>
      <c r="Q3" s="13" t="n">
        <v>0.4</v>
      </c>
      <c r="R3" s="10" t="n">
        <v>14000</v>
      </c>
      <c r="S3" s="8" t="inlineStr">
        <is>
          <t>факт</t>
        </is>
      </c>
      <c r="T3" s="10" t="n">
        <v>1</v>
      </c>
      <c r="U3" s="8" t="inlineStr">
        <is>
          <t>факт</t>
        </is>
      </c>
    </row>
    <row r="4">
      <c r="A4" s="8" t="inlineStr">
        <is>
          <t>5192434d-e1a5-44ef-acc0-fc91ebfaf728</t>
        </is>
      </c>
      <c r="B4" s="8" t="inlineStr">
        <is>
          <t>продана</t>
        </is>
      </c>
      <c r="C4" s="8" t="inlineStr">
        <is>
          <t>NEW</t>
        </is>
      </c>
      <c r="D4" s="8" t="inlineStr">
        <is>
          <t>Можайск</t>
        </is>
      </c>
      <c r="E4" s="8" t="inlineStr">
        <is>
          <t>АД</t>
        </is>
      </c>
      <c r="F4" s="8" t="inlineStr">
        <is>
          <t>денга</t>
        </is>
      </c>
      <c r="G4" s="8" t="inlineStr">
        <is>
          <t>Всадник с драконом/строчник</t>
        </is>
      </c>
      <c r="H4" s="9" t="n">
        <v>1</v>
      </c>
      <c r="I4" s="10" t="n">
        <v>15000</v>
      </c>
      <c r="J4" s="8" t="inlineStr">
        <is>
          <t>клуб</t>
        </is>
      </c>
      <c r="K4" s="9" t="n"/>
      <c r="L4" s="9" t="n">
        <v>46001</v>
      </c>
      <c r="M4" s="10" t="n">
        <v>120000</v>
      </c>
      <c r="N4" s="8" t="inlineStr">
        <is>
          <t>a4bc418f-2729-4431-bed3-7c123d84a2fe</t>
        </is>
      </c>
      <c r="O4" s="8" t="inlineStr">
        <is>
          <t>Alexan</t>
        </is>
      </c>
      <c r="P4" s="10" t="n">
        <v>105000</v>
      </c>
      <c r="Q4" s="13" t="n">
        <v>7</v>
      </c>
      <c r="R4" s="10" t="n">
        <v>120000</v>
      </c>
      <c r="S4" s="8" t="inlineStr">
        <is>
          <t>факт</t>
        </is>
      </c>
      <c r="T4" s="10" t="n">
        <v>1</v>
      </c>
      <c r="U4" s="8" t="inlineStr">
        <is>
          <t>факт</t>
        </is>
      </c>
    </row>
    <row r="5">
      <c r="A5" s="8" t="inlineStr">
        <is>
          <t>3c4c1026-96a9-470a-ad5e-69101f621c12</t>
        </is>
      </c>
      <c r="B5" s="8" t="inlineStr">
        <is>
          <t>продана</t>
        </is>
      </c>
      <c r="C5" s="8" t="inlineStr">
        <is>
          <t>1111</t>
        </is>
      </c>
      <c r="D5" s="8" t="inlineStr">
        <is>
          <t>Москва</t>
        </is>
      </c>
      <c r="E5" s="8" t="inlineStr">
        <is>
          <t>ДД</t>
        </is>
      </c>
      <c r="F5" s="8" t="inlineStr">
        <is>
          <t>денга</t>
        </is>
      </c>
      <c r="G5" s="8" t="inlineStr">
        <is>
          <t>Воин влево/подражание</t>
        </is>
      </c>
      <c r="H5" s="9" t="n">
        <v>4</v>
      </c>
      <c r="I5" s="10" t="n">
        <v>30000</v>
      </c>
      <c r="J5" s="8" t="inlineStr">
        <is>
          <t>Петрунин</t>
        </is>
      </c>
      <c r="K5" s="9" t="n"/>
      <c r="L5" s="9" t="n">
        <v>46010</v>
      </c>
      <c r="M5" s="10" t="n">
        <v>40000</v>
      </c>
      <c r="N5" s="8" t="inlineStr">
        <is>
          <t>a4bc418f-2729-4431-bed3-7c123d84a2fe</t>
        </is>
      </c>
      <c r="O5" s="8" t="inlineStr">
        <is>
          <t>Alexan</t>
        </is>
      </c>
      <c r="P5" s="10" t="n">
        <v>10000</v>
      </c>
      <c r="Q5" s="13" t="n">
        <v>0.33</v>
      </c>
      <c r="R5" s="10" t="n">
        <v>40000</v>
      </c>
      <c r="S5" s="8" t="inlineStr">
        <is>
          <t>факт</t>
        </is>
      </c>
      <c r="T5" s="10" t="n">
        <v>1</v>
      </c>
      <c r="U5" s="8" t="inlineStr">
        <is>
          <t>факт</t>
        </is>
      </c>
    </row>
    <row r="6">
      <c r="A6" s="8" t="inlineStr">
        <is>
          <t>11cd3f1d-8301-42fc-97a0-3ddb5efc703c</t>
        </is>
      </c>
      <c r="B6" s="8" t="inlineStr">
        <is>
          <t>продана</t>
        </is>
      </c>
      <c r="C6" s="8" t="inlineStr">
        <is>
          <t>4745</t>
        </is>
      </c>
      <c r="D6" s="8" t="inlineStr">
        <is>
          <t>Ростов</t>
        </is>
      </c>
      <c r="E6" s="8" t="inlineStr">
        <is>
          <t>Фёдор</t>
        </is>
      </c>
      <c r="F6" s="8" t="inlineStr">
        <is>
          <t>денга</t>
        </is>
      </c>
      <c r="G6" s="8" t="inlineStr">
        <is>
          <t>Танцоры/князь с мечом</t>
        </is>
      </c>
      <c r="H6" s="9" t="n">
        <v>3</v>
      </c>
      <c r="I6" s="10" t="n">
        <v>45000</v>
      </c>
      <c r="J6" s="8" t="inlineStr">
        <is>
          <t>Петрунин</t>
        </is>
      </c>
      <c r="K6" s="9" t="n"/>
      <c r="L6" s="9" t="n">
        <v>46019</v>
      </c>
      <c r="M6" s="10" t="n">
        <v>95000</v>
      </c>
      <c r="N6" s="8" t="inlineStr">
        <is>
          <t>a4bc418f-2729-4431-bed3-7c123d84a2fe</t>
        </is>
      </c>
      <c r="O6" s="8" t="inlineStr">
        <is>
          <t>Alexan</t>
        </is>
      </c>
      <c r="P6" s="10" t="n">
        <v>50000</v>
      </c>
      <c r="Q6" s="13" t="n">
        <v>1.11</v>
      </c>
      <c r="R6" s="10" t="n">
        <v>95000</v>
      </c>
      <c r="S6" s="8" t="inlineStr">
        <is>
          <t>факт</t>
        </is>
      </c>
      <c r="T6" s="10" t="n">
        <v>1</v>
      </c>
      <c r="U6" s="8" t="inlineStr">
        <is>
          <t>факт</t>
        </is>
      </c>
    </row>
    <row r="7">
      <c r="A7" s="8" t="inlineStr">
        <is>
          <t>e4c74b50-0924-48cc-8d00-eba6dc6b07be</t>
        </is>
      </c>
      <c r="B7" s="8" t="inlineStr">
        <is>
          <t>продана</t>
        </is>
      </c>
      <c r="C7" s="9" t="n"/>
      <c r="D7" s="8" t="inlineStr">
        <is>
          <t>Серпухов</t>
        </is>
      </c>
      <c r="E7" s="8" t="inlineStr">
        <is>
          <t>СВ</t>
        </is>
      </c>
      <c r="F7" s="8" t="inlineStr">
        <is>
          <t>денга</t>
        </is>
      </c>
      <c r="G7" s="8" t="inlineStr">
        <is>
          <t>Двуименка Самсон/строчник</t>
        </is>
      </c>
      <c r="H7" s="9" t="n"/>
      <c r="I7" s="10" t="n">
        <v>8000</v>
      </c>
      <c r="J7" s="8" t="inlineStr">
        <is>
          <t>Петрунин</t>
        </is>
      </c>
      <c r="K7" s="9" t="n"/>
      <c r="L7" s="9" t="n">
        <v>46028</v>
      </c>
      <c r="M7" s="10" t="n">
        <v>14000</v>
      </c>
      <c r="N7" s="8" t="inlineStr">
        <is>
          <t>a4bc418f-2729-4431-bed3-7c123d84a2fe</t>
        </is>
      </c>
      <c r="O7" s="8" t="inlineStr">
        <is>
          <t>Alexan</t>
        </is>
      </c>
      <c r="P7" s="10" t="n">
        <v>6000</v>
      </c>
      <c r="Q7" s="13" t="n">
        <v>0.75</v>
      </c>
      <c r="R7" s="10" t="n">
        <v>14000</v>
      </c>
      <c r="S7" s="8" t="inlineStr">
        <is>
          <t>факт</t>
        </is>
      </c>
      <c r="T7" s="10" t="n">
        <v>1</v>
      </c>
      <c r="U7" s="8" t="inlineStr">
        <is>
          <t>факт</t>
        </is>
      </c>
    </row>
    <row r="8">
      <c r="A8" s="8" t="inlineStr">
        <is>
          <t>b818e413-09e4-4b47-a061-6f93c0c72946</t>
        </is>
      </c>
      <c r="B8" s="8" t="inlineStr">
        <is>
          <t>продана</t>
        </is>
      </c>
      <c r="C8" s="9" t="n"/>
      <c r="D8" s="8" t="inlineStr">
        <is>
          <t>Серпухов</t>
        </is>
      </c>
      <c r="E8" s="8" t="inlineStr">
        <is>
          <t>СВ</t>
        </is>
      </c>
      <c r="F8" s="8" t="inlineStr">
        <is>
          <t>денга</t>
        </is>
      </c>
      <c r="G8" s="8" t="inlineStr">
        <is>
          <t>Двуименка Самсон/строчник</t>
        </is>
      </c>
      <c r="H8" s="9" t="n"/>
      <c r="I8" s="10" t="n">
        <v>8000</v>
      </c>
      <c r="J8" s="8" t="inlineStr">
        <is>
          <t>Петрунин</t>
        </is>
      </c>
      <c r="K8" s="9" t="n"/>
      <c r="L8" s="9" t="n">
        <v>46037</v>
      </c>
      <c r="M8" s="10" t="n">
        <v>15000</v>
      </c>
      <c r="N8" s="8" t="inlineStr">
        <is>
          <t>a4bc418f-2729-4431-bed3-7c123d84a2fe</t>
        </is>
      </c>
      <c r="O8" s="8" t="inlineStr">
        <is>
          <t>Alexan</t>
        </is>
      </c>
      <c r="P8" s="10" t="n">
        <v>7000</v>
      </c>
      <c r="Q8" s="13" t="n">
        <v>0.88</v>
      </c>
      <c r="R8" s="10" t="n">
        <v>15000</v>
      </c>
      <c r="S8" s="8" t="inlineStr">
        <is>
          <t>факт</t>
        </is>
      </c>
      <c r="T8" s="10" t="n">
        <v>1</v>
      </c>
      <c r="U8" s="8" t="inlineStr">
        <is>
          <t>факт</t>
        </is>
      </c>
    </row>
    <row r="9">
      <c r="A9" s="8" t="inlineStr">
        <is>
          <t>38a9ad10-6eeb-48e1-a92f-27329f35971c</t>
        </is>
      </c>
      <c r="B9" s="8" t="inlineStr">
        <is>
          <t>продана</t>
        </is>
      </c>
      <c r="C9" s="8" t="inlineStr">
        <is>
          <t>1135А</t>
        </is>
      </c>
      <c r="D9" s="8" t="inlineStr">
        <is>
          <t>Москва</t>
        </is>
      </c>
      <c r="E9" s="8" t="inlineStr">
        <is>
          <t>ВД</t>
        </is>
      </c>
      <c r="F9" s="8" t="inlineStr">
        <is>
          <t>денга</t>
        </is>
      </c>
      <c r="G9" s="8" t="inlineStr">
        <is>
          <t>Янус</t>
        </is>
      </c>
      <c r="H9" s="9" t="n">
        <v>4</v>
      </c>
      <c r="I9" s="10" t="n">
        <v>20000</v>
      </c>
      <c r="J9" s="8" t="inlineStr">
        <is>
          <t>Гогер</t>
        </is>
      </c>
      <c r="K9" s="9" t="n"/>
      <c r="L9" s="9" t="n">
        <v>46046</v>
      </c>
      <c r="M9" s="10" t="n">
        <v>39000</v>
      </c>
      <c r="N9" s="8" t="inlineStr">
        <is>
          <t>a4bc418f-2729-4431-bed3-7c123d84a2fe</t>
        </is>
      </c>
      <c r="O9" s="8" t="inlineStr">
        <is>
          <t>Alexan</t>
        </is>
      </c>
      <c r="P9" s="10" t="n">
        <v>19000</v>
      </c>
      <c r="Q9" s="13" t="n">
        <v>0.95</v>
      </c>
      <c r="R9" s="10" t="n">
        <v>39000</v>
      </c>
      <c r="S9" s="8" t="inlineStr">
        <is>
          <t>факт</t>
        </is>
      </c>
      <c r="T9" s="10" t="n">
        <v>1</v>
      </c>
      <c r="U9" s="8" t="inlineStr">
        <is>
          <t>факт</t>
        </is>
      </c>
    </row>
    <row r="10">
      <c r="A10" s="8" t="inlineStr">
        <is>
          <t>78672c3c-6af1-43cd-ba58-dfc4c7cf1316</t>
        </is>
      </c>
      <c r="B10" s="8" t="inlineStr">
        <is>
          <t>продана</t>
        </is>
      </c>
      <c r="C10" s="8" t="inlineStr">
        <is>
          <t>1580</t>
        </is>
      </c>
      <c r="D10" s="8" t="inlineStr">
        <is>
          <t>Москва</t>
        </is>
      </c>
      <c r="E10" s="8" t="inlineStr">
        <is>
          <t>ВД</t>
        </is>
      </c>
      <c r="F10" s="8" t="inlineStr">
        <is>
          <t>денга</t>
        </is>
      </c>
      <c r="G10" s="8" t="inlineStr">
        <is>
          <t>собачки</t>
        </is>
      </c>
      <c r="H10" s="9" t="n">
        <v>2</v>
      </c>
      <c r="I10" s="10" t="n">
        <v>20000</v>
      </c>
      <c r="J10" s="8" t="inlineStr">
        <is>
          <t>Петрунин</t>
        </is>
      </c>
      <c r="K10" s="9" t="n"/>
      <c r="L10" s="9" t="n">
        <v>46055</v>
      </c>
      <c r="M10" s="10" t="n">
        <v>45000</v>
      </c>
      <c r="N10" s="8" t="inlineStr">
        <is>
          <t>a4bc418f-2729-4431-bed3-7c123d84a2fe</t>
        </is>
      </c>
      <c r="O10" s="8" t="inlineStr">
        <is>
          <t>Alexan</t>
        </is>
      </c>
      <c r="P10" s="10" t="n">
        <v>25000</v>
      </c>
      <c r="Q10" s="13" t="n">
        <v>1.25</v>
      </c>
      <c r="R10" s="10" t="n">
        <v>45000</v>
      </c>
      <c r="S10" s="8" t="inlineStr">
        <is>
          <t>факт</t>
        </is>
      </c>
      <c r="T10" s="10" t="n">
        <v>1</v>
      </c>
      <c r="U10" s="8" t="inlineStr">
        <is>
          <t>факт</t>
        </is>
      </c>
    </row>
    <row r="11">
      <c r="A11" s="8" t="inlineStr">
        <is>
          <t>1af68d6b-27c8-4e66-8d2a-a86c1a974828</t>
        </is>
      </c>
      <c r="B11" s="8" t="inlineStr">
        <is>
          <t>продана</t>
        </is>
      </c>
      <c r="C11" s="8" t="inlineStr">
        <is>
          <t>NEW</t>
        </is>
      </c>
      <c r="D11" s="8" t="inlineStr">
        <is>
          <t>Москва</t>
        </is>
      </c>
      <c r="E11" s="8" t="inlineStr">
        <is>
          <t>ВД</t>
        </is>
      </c>
      <c r="F11" s="8" t="inlineStr">
        <is>
          <t>полуденга</t>
        </is>
      </c>
      <c r="G11" s="8" t="inlineStr">
        <is>
          <t>голова вправо звезда перед ней/строчник</t>
        </is>
      </c>
      <c r="H11" s="9" t="n">
        <v>1</v>
      </c>
      <c r="I11" s="10" t="n">
        <v>50000</v>
      </c>
      <c r="J11" s="8" t="inlineStr">
        <is>
          <t>Петрунин</t>
        </is>
      </c>
      <c r="K11" s="9" t="n"/>
      <c r="L11" s="9" t="n">
        <v>46064</v>
      </c>
      <c r="M11" s="10" t="n">
        <v>120000</v>
      </c>
      <c r="N11" s="8" t="inlineStr">
        <is>
          <t>a4bc418f-2729-4431-bed3-7c123d84a2fe</t>
        </is>
      </c>
      <c r="O11" s="8" t="inlineStr">
        <is>
          <t>Alexan</t>
        </is>
      </c>
      <c r="P11" s="10" t="n">
        <v>70000</v>
      </c>
      <c r="Q11" s="13" t="n">
        <v>1.4</v>
      </c>
      <c r="R11" s="10" t="n">
        <v>120000</v>
      </c>
      <c r="S11" s="8" t="inlineStr">
        <is>
          <t>факт</t>
        </is>
      </c>
      <c r="T11" s="10" t="n">
        <v>1</v>
      </c>
      <c r="U11" s="8" t="inlineStr">
        <is>
          <t>факт</t>
        </is>
      </c>
    </row>
    <row r="12">
      <c r="A12" s="8" t="inlineStr">
        <is>
          <t>758c5bc8-37db-42e3-ab70-45ca042e3a30</t>
        </is>
      </c>
      <c r="B12" s="8" t="inlineStr">
        <is>
          <t>продана</t>
        </is>
      </c>
      <c r="C12" s="9" t="n"/>
      <c r="D12" s="8" t="inlineStr">
        <is>
          <t>Москва</t>
        </is>
      </c>
      <c r="E12" s="8" t="inlineStr">
        <is>
          <t>ВД</t>
        </is>
      </c>
      <c r="F12" s="8" t="inlineStr">
        <is>
          <t>денга</t>
        </is>
      </c>
      <c r="G12" s="8" t="inlineStr">
        <is>
          <t>голова в шляпе вправо</t>
        </is>
      </c>
      <c r="H12" s="9" t="n">
        <v>2</v>
      </c>
      <c r="I12" s="10" t="n">
        <v>15000</v>
      </c>
      <c r="J12" s="8" t="inlineStr">
        <is>
          <t>Гогер</t>
        </is>
      </c>
      <c r="K12" s="9" t="n"/>
      <c r="L12" s="9" t="n">
        <v>46073</v>
      </c>
      <c r="M12" s="10" t="n">
        <v>45000</v>
      </c>
      <c r="N12" s="8" t="inlineStr">
        <is>
          <t>a4bc418f-2729-4431-bed3-7c123d84a2fe</t>
        </is>
      </c>
      <c r="O12" s="8" t="inlineStr">
        <is>
          <t>Alexan</t>
        </is>
      </c>
      <c r="P12" s="10" t="n">
        <v>30000</v>
      </c>
      <c r="Q12" s="13" t="n">
        <v>2</v>
      </c>
      <c r="R12" s="10" t="n">
        <v>45000</v>
      </c>
      <c r="S12" s="8" t="inlineStr">
        <is>
          <t>факт</t>
        </is>
      </c>
      <c r="T12" s="10" t="n">
        <v>1</v>
      </c>
      <c r="U12" s="8" t="inlineStr">
        <is>
          <t>факт</t>
        </is>
      </c>
    </row>
    <row r="13">
      <c r="A13" s="8" t="inlineStr">
        <is>
          <t>d9c8f08b-770c-4059-be91-f3b06eecb3d5</t>
        </is>
      </c>
      <c r="B13" s="8" t="inlineStr">
        <is>
          <t>продана</t>
        </is>
      </c>
      <c r="C13" s="8" t="inlineStr">
        <is>
          <t>3820В</t>
        </is>
      </c>
      <c r="D13" s="8" t="inlineStr">
        <is>
          <t>Дмитров</t>
        </is>
      </c>
      <c r="E13" s="8" t="inlineStr">
        <is>
          <t>ПД</t>
        </is>
      </c>
      <c r="F13" s="8" t="inlineStr">
        <is>
          <t>денга</t>
        </is>
      </c>
      <c r="G13" s="8" t="inlineStr">
        <is>
          <t>барс/подражание</t>
        </is>
      </c>
      <c r="H13" s="9" t="n">
        <v>4</v>
      </c>
      <c r="I13" s="10" t="n">
        <v>6000</v>
      </c>
      <c r="J13" s="8" t="inlineStr">
        <is>
          <t>ревью</t>
        </is>
      </c>
      <c r="K13" s="9" t="n"/>
      <c r="L13" s="9" t="n">
        <v>46082</v>
      </c>
      <c r="M13" s="10" t="n">
        <v>22000</v>
      </c>
      <c r="N13" s="8" t="inlineStr">
        <is>
          <t>a4bc418f-2729-4431-bed3-7c123d84a2fe</t>
        </is>
      </c>
      <c r="O13" s="8" t="inlineStr">
        <is>
          <t>Alexan</t>
        </is>
      </c>
      <c r="P13" s="10" t="n">
        <v>16000</v>
      </c>
      <c r="Q13" s="13" t="n">
        <v>2.67</v>
      </c>
      <c r="R13" s="10" t="n">
        <v>22000</v>
      </c>
      <c r="S13" s="8" t="inlineStr">
        <is>
          <t>факт</t>
        </is>
      </c>
      <c r="T13" s="10" t="n">
        <v>1</v>
      </c>
      <c r="U13" s="8" t="inlineStr">
        <is>
          <t>факт</t>
        </is>
      </c>
    </row>
    <row r="14">
      <c r="A14" s="8" t="inlineStr">
        <is>
          <t>102e7cba-ad8b-490c-bda7-242fcc6382eb</t>
        </is>
      </c>
      <c r="B14" s="8" t="inlineStr">
        <is>
          <t>продана</t>
        </is>
      </c>
      <c r="C14" s="8" t="inlineStr">
        <is>
          <t>3854I</t>
        </is>
      </c>
      <c r="D14" s="8" t="inlineStr">
        <is>
          <t>Дмитров</t>
        </is>
      </c>
      <c r="E14" s="8" t="inlineStr">
        <is>
          <t>ПД</t>
        </is>
      </c>
      <c r="F14" s="8" t="inlineStr">
        <is>
          <t>денга</t>
        </is>
      </c>
      <c r="G14" s="8" t="inlineStr">
        <is>
          <t>морда/звезда Давида</t>
        </is>
      </c>
      <c r="H14" s="9" t="n">
        <v>2</v>
      </c>
      <c r="I14" s="10" t="n">
        <v>36000</v>
      </c>
      <c r="J14" s="8" t="inlineStr">
        <is>
          <t>ревью</t>
        </is>
      </c>
      <c r="K14" s="9" t="n"/>
      <c r="L14" s="9" t="n">
        <v>46091</v>
      </c>
      <c r="M14" s="10" t="n">
        <v>41000</v>
      </c>
      <c r="N14" s="8" t="inlineStr">
        <is>
          <t>a4bc418f-2729-4431-bed3-7c123d84a2fe</t>
        </is>
      </c>
      <c r="O14" s="8" t="inlineStr">
        <is>
          <t>Alexan</t>
        </is>
      </c>
      <c r="P14" s="10" t="n">
        <v>5000</v>
      </c>
      <c r="Q14" s="13" t="n">
        <v>0.14</v>
      </c>
      <c r="R14" s="10" t="n">
        <v>41000</v>
      </c>
      <c r="S14" s="8" t="inlineStr">
        <is>
          <t>факт</t>
        </is>
      </c>
      <c r="T14" s="10" t="n">
        <v>1</v>
      </c>
      <c r="U14" s="8" t="inlineStr">
        <is>
          <t>факт</t>
        </is>
      </c>
    </row>
    <row r="15">
      <c r="A15" s="8" t="inlineStr">
        <is>
          <t>040aee07-a684-4f3b-a528-a0bb33998b75</t>
        </is>
      </c>
      <c r="B15" s="8" t="inlineStr">
        <is>
          <t>продана</t>
        </is>
      </c>
      <c r="C15" s="8" t="inlineStr">
        <is>
          <t>NEW</t>
        </is>
      </c>
      <c r="D15" s="8" t="inlineStr">
        <is>
          <t>Ростов</t>
        </is>
      </c>
      <c r="E15" s="8" t="inlineStr">
        <is>
          <t>Фёдор</t>
        </is>
      </c>
      <c r="F15" s="8" t="inlineStr">
        <is>
          <t>денга</t>
        </is>
      </c>
      <c r="G15" s="8" t="inlineStr">
        <is>
          <t>лицо/зверь</t>
        </is>
      </c>
      <c r="H15" s="9" t="n">
        <v>1</v>
      </c>
      <c r="I15" s="10" t="n">
        <v>50000</v>
      </c>
      <c r="J15" s="8" t="inlineStr">
        <is>
          <t>Гогер</t>
        </is>
      </c>
      <c r="K15" s="9" t="n"/>
      <c r="L15" s="9" t="n">
        <v>46100</v>
      </c>
      <c r="M15" s="10" t="n">
        <v>70000</v>
      </c>
      <c r="N15" s="8" t="inlineStr">
        <is>
          <t>a4bc418f-2729-4431-bed3-7c123d84a2fe</t>
        </is>
      </c>
      <c r="O15" s="8" t="inlineStr">
        <is>
          <t>Alexan</t>
        </is>
      </c>
      <c r="P15" s="10" t="n">
        <v>20000</v>
      </c>
      <c r="Q15" s="13" t="n">
        <v>0.4</v>
      </c>
      <c r="R15" s="10" t="n">
        <v>70000</v>
      </c>
      <c r="S15" s="8" t="inlineStr">
        <is>
          <t>факт</t>
        </is>
      </c>
      <c r="T15" s="10" t="n">
        <v>1</v>
      </c>
      <c r="U15" s="8" t="inlineStr">
        <is>
          <t>факт</t>
        </is>
      </c>
    </row>
    <row r="16">
      <c r="A16" s="8" t="inlineStr">
        <is>
          <t>5aafdc60-3d50-42db-85e3-6600e434735d</t>
        </is>
      </c>
      <c r="B16" s="8" t="inlineStr">
        <is>
          <t>продана</t>
        </is>
      </c>
      <c r="C16" s="8" t="inlineStr">
        <is>
          <t>3514</t>
        </is>
      </c>
      <c r="D16" s="8" t="inlineStr">
        <is>
          <t>Можайск</t>
        </is>
      </c>
      <c r="E16" s="8" t="inlineStr">
        <is>
          <t>АД</t>
        </is>
      </c>
      <c r="F16" s="8" t="inlineStr">
        <is>
          <t>полуденга</t>
        </is>
      </c>
      <c r="G16" s="8" t="inlineStr">
        <is>
          <t>воин/рисунок в рамке</t>
        </is>
      </c>
      <c r="H16" s="9" t="n">
        <v>3</v>
      </c>
      <c r="I16" s="10" t="n">
        <v>15000</v>
      </c>
      <c r="J16" s="8" t="inlineStr">
        <is>
          <t>Итальянец</t>
        </is>
      </c>
      <c r="K16" s="9" t="n"/>
      <c r="L16" s="9" t="n">
        <v>46109</v>
      </c>
      <c r="M16" s="10" t="n">
        <v>35000</v>
      </c>
      <c r="N16" s="8" t="inlineStr">
        <is>
          <t>28b8882a-8843-4d87-8ed9-c2f47c82cde7</t>
        </is>
      </c>
      <c r="O16" s="8" t="inlineStr">
        <is>
          <t>Гогер</t>
        </is>
      </c>
      <c r="P16" s="10" t="n">
        <v>20000</v>
      </c>
      <c r="Q16" s="13" t="n">
        <v>1.33</v>
      </c>
      <c r="R16" s="10" t="n">
        <v>35000</v>
      </c>
      <c r="S16" s="8" t="inlineStr">
        <is>
          <t>факт</t>
        </is>
      </c>
      <c r="T16" s="10" t="n">
        <v>1</v>
      </c>
      <c r="U16" s="8" t="inlineStr">
        <is>
          <t>факт</t>
        </is>
      </c>
    </row>
    <row r="17">
      <c r="A17" s="8" t="inlineStr">
        <is>
          <t>022adfbf-8787-496d-be2b-a95b81e04048</t>
        </is>
      </c>
      <c r="B17" s="8" t="inlineStr">
        <is>
          <t>продана</t>
        </is>
      </c>
      <c r="C17" s="8" t="inlineStr">
        <is>
          <t>3570</t>
        </is>
      </c>
      <c r="D17" s="8" t="inlineStr">
        <is>
          <t>Можайск</t>
        </is>
      </c>
      <c r="E17" s="8" t="inlineStr">
        <is>
          <t>АД</t>
        </is>
      </c>
      <c r="F17" s="8" t="inlineStr">
        <is>
          <t>полуденга</t>
        </is>
      </c>
      <c r="G17" s="8" t="inlineStr">
        <is>
          <t>воин/голова в рамке</t>
        </is>
      </c>
      <c r="H17" s="9" t="n">
        <v>1</v>
      </c>
      <c r="I17" s="10" t="n">
        <v>10000</v>
      </c>
      <c r="J17" s="8" t="inlineStr">
        <is>
          <t>Итальянец</t>
        </is>
      </c>
      <c r="K17" s="9" t="n"/>
      <c r="L17" s="9" t="n">
        <v>46118</v>
      </c>
      <c r="M17" s="10" t="n">
        <v>15000</v>
      </c>
      <c r="N17" s="8" t="inlineStr">
        <is>
          <t>28b8882a-8843-4d87-8ed9-c2f47c82cde7</t>
        </is>
      </c>
      <c r="O17" s="8" t="inlineStr">
        <is>
          <t>Гогер</t>
        </is>
      </c>
      <c r="P17" s="10" t="n">
        <v>5000</v>
      </c>
      <c r="Q17" s="13" t="n">
        <v>0.5</v>
      </c>
      <c r="R17" s="10" t="n">
        <v>15000</v>
      </c>
      <c r="S17" s="8" t="inlineStr">
        <is>
          <t>факт</t>
        </is>
      </c>
      <c r="T17" s="10" t="n">
        <v>1</v>
      </c>
      <c r="U17" s="8" t="inlineStr">
        <is>
          <t>факт</t>
        </is>
      </c>
    </row>
    <row r="18">
      <c r="A18" s="8" t="inlineStr">
        <is>
          <t>f37b7c54-fc47-4c2b-a9cc-cabda5f08158</t>
        </is>
      </c>
      <c r="B18" s="8" t="inlineStr">
        <is>
          <t>продана</t>
        </is>
      </c>
      <c r="C18" s="8" t="inlineStr">
        <is>
          <t>3634D</t>
        </is>
      </c>
      <c r="D18" s="8" t="inlineStr">
        <is>
          <t>Можайск</t>
        </is>
      </c>
      <c r="E18" s="8" t="inlineStr">
        <is>
          <t>АД</t>
        </is>
      </c>
      <c r="F18" s="8" t="inlineStr">
        <is>
          <t>полуденга</t>
        </is>
      </c>
      <c r="G18" s="8" t="inlineStr">
        <is>
          <t>барс оглядывается/надпись</t>
        </is>
      </c>
      <c r="H18" s="9" t="n">
        <v>1</v>
      </c>
      <c r="I18" s="10" t="n">
        <v>15000</v>
      </c>
      <c r="J18" s="8" t="inlineStr">
        <is>
          <t>Итальянец</t>
        </is>
      </c>
      <c r="K18" s="9" t="n"/>
      <c r="L18" s="9" t="n">
        <v>46127</v>
      </c>
      <c r="M18" s="10" t="n">
        <v>25000</v>
      </c>
      <c r="N18" s="8" t="inlineStr">
        <is>
          <t>28b8882a-8843-4d87-8ed9-c2f47c82cde7</t>
        </is>
      </c>
      <c r="O18" s="8" t="inlineStr">
        <is>
          <t>Гогер</t>
        </is>
      </c>
      <c r="P18" s="10" t="n">
        <v>10000</v>
      </c>
      <c r="Q18" s="13" t="n">
        <v>0.67</v>
      </c>
      <c r="R18" s="10" t="n">
        <v>25000</v>
      </c>
      <c r="S18" s="8" t="inlineStr">
        <is>
          <t>факт</t>
        </is>
      </c>
      <c r="T18" s="10" t="n">
        <v>1</v>
      </c>
      <c r="U18" s="8" t="inlineStr">
        <is>
          <t>факт</t>
        </is>
      </c>
    </row>
    <row r="19">
      <c r="A19" s="8" t="inlineStr">
        <is>
          <t>8ecf529e-b59d-4e3e-acb3-f774093c1bbc</t>
        </is>
      </c>
      <c r="B19" s="8" t="inlineStr">
        <is>
          <t>продана</t>
        </is>
      </c>
      <c r="C19" s="8" t="inlineStr">
        <is>
          <t>3635D</t>
        </is>
      </c>
      <c r="D19" s="8" t="inlineStr">
        <is>
          <t>Можайск</t>
        </is>
      </c>
      <c r="E19" s="8" t="inlineStr">
        <is>
          <t>АД</t>
        </is>
      </c>
      <c r="F19" s="8" t="inlineStr">
        <is>
          <t>полуденга</t>
        </is>
      </c>
      <c r="G19" s="8" t="inlineStr">
        <is>
          <t>барс оглядывается/надпись</t>
        </is>
      </c>
      <c r="H19" s="9" t="n">
        <v>1</v>
      </c>
      <c r="I19" s="10" t="n">
        <v>10000</v>
      </c>
      <c r="J19" s="8" t="inlineStr">
        <is>
          <t>Итальянец</t>
        </is>
      </c>
      <c r="K19" s="9" t="n"/>
      <c r="L19" s="9" t="n">
        <v>46136</v>
      </c>
      <c r="M19" s="10" t="n">
        <v>20000</v>
      </c>
      <c r="N19" s="8" t="inlineStr">
        <is>
          <t>28b8882a-8843-4d87-8ed9-c2f47c82cde7</t>
        </is>
      </c>
      <c r="O19" s="8" t="inlineStr">
        <is>
          <t>Гогер</t>
        </is>
      </c>
      <c r="P19" s="10" t="n">
        <v>10000</v>
      </c>
      <c r="Q19" s="13" t="n">
        <v>1</v>
      </c>
      <c r="R19" s="10" t="n">
        <v>20000</v>
      </c>
      <c r="S19" s="8" t="inlineStr">
        <is>
          <t>факт</t>
        </is>
      </c>
      <c r="T19" s="10" t="n">
        <v>1</v>
      </c>
      <c r="U19" s="8" t="inlineStr">
        <is>
          <t>факт</t>
        </is>
      </c>
    </row>
    <row r="20">
      <c r="A20" s="8" t="inlineStr">
        <is>
          <t>5e3da636-35e1-4967-85d3-e8dcce67735f</t>
        </is>
      </c>
      <c r="B20" s="8" t="inlineStr">
        <is>
          <t>продана</t>
        </is>
      </c>
      <c r="C20" s="8" t="inlineStr">
        <is>
          <t>3675</t>
        </is>
      </c>
      <c r="D20" s="8" t="inlineStr">
        <is>
          <t>Можайск</t>
        </is>
      </c>
      <c r="E20" s="8" t="inlineStr">
        <is>
          <t>АД</t>
        </is>
      </c>
      <c r="F20" s="8" t="inlineStr">
        <is>
          <t>полуденга</t>
        </is>
      </c>
      <c r="G20" s="8" t="inlineStr">
        <is>
          <t>голова с крестом/самсон</t>
        </is>
      </c>
      <c r="H20" s="9" t="n">
        <v>4</v>
      </c>
      <c r="I20" s="10" t="n">
        <v>10000</v>
      </c>
      <c r="J20" s="8" t="inlineStr">
        <is>
          <t>Итальянец</t>
        </is>
      </c>
      <c r="K20" s="9" t="n"/>
      <c r="L20" s="9" t="n">
        <v>46145</v>
      </c>
      <c r="M20" s="10" t="n">
        <v>20000</v>
      </c>
      <c r="N20" s="8" t="inlineStr">
        <is>
          <t>28b8882a-8843-4d87-8ed9-c2f47c82cde7</t>
        </is>
      </c>
      <c r="O20" s="8" t="inlineStr">
        <is>
          <t>Гогер</t>
        </is>
      </c>
      <c r="P20" s="10" t="n">
        <v>10000</v>
      </c>
      <c r="Q20" s="13" t="n">
        <v>1</v>
      </c>
      <c r="R20" s="10" t="n">
        <v>20000</v>
      </c>
      <c r="S20" s="8" t="inlineStr">
        <is>
          <t>факт</t>
        </is>
      </c>
      <c r="T20" s="10" t="n">
        <v>1</v>
      </c>
      <c r="U20" s="8" t="inlineStr">
        <is>
          <t>факт</t>
        </is>
      </c>
    </row>
    <row r="21">
      <c r="A21" s="8" t="inlineStr">
        <is>
          <t>77abb319-2750-4e8b-aee8-ad6102fcb4b3</t>
        </is>
      </c>
      <c r="B21" s="8" t="inlineStr">
        <is>
          <t>продана</t>
        </is>
      </c>
      <c r="C21" s="9" t="n"/>
      <c r="D21" s="8" t="inlineStr">
        <is>
          <t>СНВК</t>
        </is>
      </c>
      <c r="E21" s="9" t="n"/>
      <c r="F21" s="8" t="inlineStr">
        <is>
          <t>денга</t>
        </is>
      </c>
      <c r="G21" s="8" t="inlineStr">
        <is>
          <t>владимирский надчекан на ВД</t>
        </is>
      </c>
      <c r="H21" s="9" t="n"/>
      <c r="I21" s="10" t="n">
        <v>28000</v>
      </c>
      <c r="J21" s="8" t="inlineStr">
        <is>
          <t>Лейбов</t>
        </is>
      </c>
      <c r="K21" s="9" t="n"/>
      <c r="L21" s="9" t="n">
        <v>46154</v>
      </c>
      <c r="M21" s="10" t="n">
        <v>30000</v>
      </c>
      <c r="N21" s="8" t="inlineStr">
        <is>
          <t>28b8882a-8843-4d87-8ed9-c2f47c82cde7</t>
        </is>
      </c>
      <c r="O21" s="8" t="inlineStr">
        <is>
          <t>Гогер</t>
        </is>
      </c>
      <c r="P21" s="10" t="n">
        <v>2000</v>
      </c>
      <c r="Q21" s="13" t="n">
        <v>0.07000000000000001</v>
      </c>
      <c r="R21" s="10" t="n">
        <v>30000</v>
      </c>
      <c r="S21" s="8" t="inlineStr">
        <is>
          <t>факт</t>
        </is>
      </c>
      <c r="T21" s="10" t="n">
        <v>1</v>
      </c>
      <c r="U21" s="8" t="inlineStr">
        <is>
          <t>факт</t>
        </is>
      </c>
    </row>
    <row r="22">
      <c r="A22" s="8" t="inlineStr">
        <is>
          <t>6d94c76e-6e49-4efb-845f-328337d6d90d</t>
        </is>
      </c>
      <c r="B22" s="8" t="inlineStr">
        <is>
          <t>продана</t>
        </is>
      </c>
      <c r="C22" s="9" t="n"/>
      <c r="D22" s="8" t="inlineStr">
        <is>
          <t>Тверь</t>
        </is>
      </c>
      <c r="E22" s="8" t="inlineStr">
        <is>
          <t>МБ</t>
        </is>
      </c>
      <c r="F22" s="8" t="inlineStr">
        <is>
          <t>денга</t>
        </is>
      </c>
      <c r="G22" s="8" t="inlineStr">
        <is>
          <t>охота/строчник</t>
        </is>
      </c>
      <c r="H22" s="9" t="n"/>
      <c r="I22" s="10" t="n">
        <v>45000</v>
      </c>
      <c r="J22" s="8" t="inlineStr">
        <is>
          <t>клуб</t>
        </is>
      </c>
      <c r="K22" s="9" t="n"/>
      <c r="L22" s="9" t="n">
        <v>46163</v>
      </c>
      <c r="M22" s="10" t="n">
        <v>52000</v>
      </c>
      <c r="N22" s="8" t="inlineStr">
        <is>
          <t>d2209f0c-56c0-4bbc-a6f7-ed4bf639eec5</t>
        </is>
      </c>
      <c r="O22" s="8" t="inlineStr">
        <is>
          <t>Городен</t>
        </is>
      </c>
      <c r="P22" s="10" t="n">
        <v>7000</v>
      </c>
      <c r="Q22" s="13" t="n">
        <v>0.16</v>
      </c>
      <c r="R22" s="10" t="n">
        <v>52000</v>
      </c>
      <c r="S22" s="8" t="inlineStr">
        <is>
          <t>факт</t>
        </is>
      </c>
      <c r="T22" s="10" t="n">
        <v>1</v>
      </c>
      <c r="U22" s="8" t="inlineStr">
        <is>
          <t>факт</t>
        </is>
      </c>
    </row>
    <row r="23">
      <c r="A23" s="8" t="inlineStr">
        <is>
          <t>c8074122-f9f4-4812-8d5d-1d0b0aeed3f5</t>
        </is>
      </c>
      <c r="B23" s="8" t="inlineStr">
        <is>
          <t>продана</t>
        </is>
      </c>
      <c r="C23" s="9" t="n"/>
      <c r="D23" s="8" t="inlineStr">
        <is>
          <t>Тверь</t>
        </is>
      </c>
      <c r="E23" s="8" t="inlineStr">
        <is>
          <t>МБ</t>
        </is>
      </c>
      <c r="F23" s="8" t="inlineStr">
        <is>
          <t>денга</t>
        </is>
      </c>
      <c r="G23" s="8" t="inlineStr">
        <is>
          <t>голова в короне</t>
        </is>
      </c>
      <c r="H23" s="9" t="n">
        <v>2</v>
      </c>
      <c r="I23" s="10" t="n">
        <v>50000</v>
      </c>
      <c r="J23" s="8" t="inlineStr">
        <is>
          <t>ревью</t>
        </is>
      </c>
      <c r="K23" s="9" t="n"/>
      <c r="L23" s="9" t="n">
        <v>46172</v>
      </c>
      <c r="M23" s="10" t="n">
        <v>80000</v>
      </c>
      <c r="N23" s="8" t="inlineStr">
        <is>
          <t>d2209f0c-56c0-4bbc-a6f7-ed4bf639eec5</t>
        </is>
      </c>
      <c r="O23" s="8" t="inlineStr">
        <is>
          <t>Городен</t>
        </is>
      </c>
      <c r="P23" s="10" t="n">
        <v>30000</v>
      </c>
      <c r="Q23" s="13" t="n">
        <v>0.6</v>
      </c>
      <c r="R23" s="10" t="n">
        <v>80000</v>
      </c>
      <c r="S23" s="8" t="inlineStr">
        <is>
          <t>факт</t>
        </is>
      </c>
      <c r="T23" s="10" t="n">
        <v>1</v>
      </c>
      <c r="U23" s="8" t="inlineStr">
        <is>
          <t>факт</t>
        </is>
      </c>
    </row>
    <row r="24">
      <c r="A24" s="8" t="inlineStr">
        <is>
          <t>86b52ed7-7dae-48c0-9d46-2be8d30ef983</t>
        </is>
      </c>
      <c r="B24" s="8" t="inlineStr">
        <is>
          <t>продана</t>
        </is>
      </c>
      <c r="C24" s="8" t="inlineStr">
        <is>
          <t>NEW</t>
        </is>
      </c>
      <c r="D24" s="8" t="inlineStr">
        <is>
          <t>Можайск</t>
        </is>
      </c>
      <c r="E24" s="8" t="inlineStr">
        <is>
          <t>АД</t>
        </is>
      </c>
      <c r="F24" s="8" t="inlineStr">
        <is>
          <t>денга</t>
        </is>
      </c>
      <c r="G24" s="8" t="inlineStr">
        <is>
          <t>Всадник с драконом/строчник</t>
        </is>
      </c>
      <c r="H24" s="9" t="n">
        <v>1</v>
      </c>
      <c r="I24" s="10" t="n">
        <v>15000</v>
      </c>
      <c r="J24" s="8" t="inlineStr">
        <is>
          <t>Гогер</t>
        </is>
      </c>
      <c r="K24" s="9" t="n"/>
      <c r="L24" s="9" t="n">
        <v>46181</v>
      </c>
      <c r="M24" s="10" t="n">
        <v>35000</v>
      </c>
      <c r="N24" s="8" t="inlineStr">
        <is>
          <t>d2209f0c-56c0-4bbc-a6f7-ed4bf639eec5</t>
        </is>
      </c>
      <c r="O24" s="8" t="inlineStr">
        <is>
          <t>Городен</t>
        </is>
      </c>
      <c r="P24" s="10" t="n">
        <v>20000</v>
      </c>
      <c r="Q24" s="13" t="n">
        <v>1.33</v>
      </c>
      <c r="R24" s="10" t="n">
        <v>35000</v>
      </c>
      <c r="S24" s="8" t="inlineStr">
        <is>
          <t>факт</t>
        </is>
      </c>
      <c r="T24" s="10" t="n">
        <v>1</v>
      </c>
      <c r="U24" s="8" t="inlineStr">
        <is>
          <t>факт</t>
        </is>
      </c>
    </row>
    <row r="25">
      <c r="A25" s="8" t="inlineStr">
        <is>
          <t>50379b63-e4ef-4d58-baaa-b3264b461ee4</t>
        </is>
      </c>
      <c r="B25" s="8" t="inlineStr">
        <is>
          <t>продана</t>
        </is>
      </c>
      <c r="C25" s="9" t="n"/>
      <c r="D25" s="8" t="inlineStr">
        <is>
          <t>Москва</t>
        </is>
      </c>
      <c r="E25" s="8" t="inlineStr">
        <is>
          <t>ВД</t>
        </is>
      </c>
      <c r="F25" s="8" t="inlineStr">
        <is>
          <t>денга</t>
        </is>
      </c>
      <c r="G25" s="8" t="inlineStr">
        <is>
          <t>оставите безумье и живы бу</t>
        </is>
      </c>
      <c r="H25" s="9" t="n"/>
      <c r="I25" s="10" t="n">
        <v>8000</v>
      </c>
      <c r="J25" s="8" t="inlineStr">
        <is>
          <t>ревью</t>
        </is>
      </c>
      <c r="K25" s="9" t="n"/>
      <c r="L25" s="9" t="n">
        <v>46190</v>
      </c>
      <c r="M25" s="10" t="n">
        <v>12000</v>
      </c>
      <c r="N25" s="8" t="inlineStr">
        <is>
          <t>c71269f7-e745-45ec-8fc9-186b8271d70a</t>
        </is>
      </c>
      <c r="O25" s="8" t="inlineStr">
        <is>
          <t>Лейбов</t>
        </is>
      </c>
      <c r="P25" s="10" t="n">
        <v>4000</v>
      </c>
      <c r="Q25" s="13" t="n">
        <v>0.5</v>
      </c>
      <c r="R25" s="10" t="n">
        <v>12000</v>
      </c>
      <c r="S25" s="8" t="inlineStr">
        <is>
          <t>факт</t>
        </is>
      </c>
      <c r="T25" s="10" t="n">
        <v>1</v>
      </c>
      <c r="U25" s="8" t="inlineStr">
        <is>
          <t>факт</t>
        </is>
      </c>
    </row>
    <row r="26">
      <c r="A26" s="8" t="inlineStr">
        <is>
          <t>93a0a0ce-593f-498d-b132-1ec0b83789f9</t>
        </is>
      </c>
      <c r="B26" s="8" t="inlineStr">
        <is>
          <t>продана</t>
        </is>
      </c>
      <c r="C26" s="9" t="n"/>
      <c r="D26" s="8" t="inlineStr">
        <is>
          <t>Москва</t>
        </is>
      </c>
      <c r="E26" s="8" t="inlineStr">
        <is>
          <t>ВД</t>
        </is>
      </c>
      <c r="F26" s="8" t="inlineStr">
        <is>
          <t>денга</t>
        </is>
      </c>
      <c r="G26" s="8" t="inlineStr">
        <is>
          <t>сокольник/самсон</t>
        </is>
      </c>
      <c r="H26" s="9" t="n"/>
      <c r="I26" s="10" t="n">
        <v>12000</v>
      </c>
      <c r="J26" s="8" t="inlineStr">
        <is>
          <t>Гогер</t>
        </is>
      </c>
      <c r="K26" s="9" t="n"/>
      <c r="L26" s="9" t="n">
        <v>46199</v>
      </c>
      <c r="M26" s="10" t="n">
        <v>13000</v>
      </c>
      <c r="N26" s="8" t="inlineStr">
        <is>
          <t>c71269f7-e745-45ec-8fc9-186b8271d70a</t>
        </is>
      </c>
      <c r="O26" s="8" t="inlineStr">
        <is>
          <t>Лейбов</t>
        </is>
      </c>
      <c r="P26" s="10" t="n">
        <v>1000</v>
      </c>
      <c r="Q26" s="13" t="n">
        <v>0.08</v>
      </c>
      <c r="R26" s="10" t="n">
        <v>13000</v>
      </c>
      <c r="S26" s="8" t="inlineStr">
        <is>
          <t>факт</t>
        </is>
      </c>
      <c r="T26" s="10" t="n">
        <v>1</v>
      </c>
      <c r="U26" s="8" t="inlineStr">
        <is>
          <t>факт</t>
        </is>
      </c>
    </row>
    <row r="27">
      <c r="A27" s="8" t="inlineStr">
        <is>
          <t>f56a703d-13d4-49fb-9de2-b22d0167813b</t>
        </is>
      </c>
      <c r="B27" s="8" t="inlineStr">
        <is>
          <t>продана</t>
        </is>
      </c>
      <c r="C27" s="8" t="inlineStr">
        <is>
          <t>3510B</t>
        </is>
      </c>
      <c r="D27" s="8" t="inlineStr">
        <is>
          <t>Можайск</t>
        </is>
      </c>
      <c r="E27" s="8" t="inlineStr">
        <is>
          <t>АД</t>
        </is>
      </c>
      <c r="F27" s="8" t="inlineStr">
        <is>
          <t>денга</t>
        </is>
      </c>
      <c r="G27" s="8" t="inlineStr">
        <is>
          <t>Воин влево/лошадь влево в рамке</t>
        </is>
      </c>
      <c r="H27" s="9" t="n">
        <v>1</v>
      </c>
      <c r="I27" s="10" t="n">
        <v>30000</v>
      </c>
      <c r="J27" s="8" t="inlineStr">
        <is>
          <t>Итальянец</t>
        </is>
      </c>
      <c r="K27" s="9" t="n"/>
      <c r="L27" s="9" t="n">
        <v>46208</v>
      </c>
      <c r="M27" s="10" t="n">
        <v>45000</v>
      </c>
      <c r="N27" s="8" t="inlineStr">
        <is>
          <t>c12aca37-9c5e-4167-bd84-a68f382d657a</t>
        </is>
      </c>
      <c r="O27" s="8" t="inlineStr">
        <is>
          <t>Шувалов</t>
        </is>
      </c>
      <c r="P27" s="10" t="n">
        <v>15000</v>
      </c>
      <c r="Q27" s="13" t="n">
        <v>0.5</v>
      </c>
      <c r="R27" s="10" t="n">
        <v>45000</v>
      </c>
      <c r="S27" s="8" t="inlineStr">
        <is>
          <t>факт</t>
        </is>
      </c>
      <c r="T27" s="10" t="n">
        <v>1</v>
      </c>
      <c r="U27" s="8" t="inlineStr">
        <is>
          <t>факт</t>
        </is>
      </c>
    </row>
    <row r="28">
      <c r="A28" s="8" t="inlineStr">
        <is>
          <t>c7abadde-a833-4e01-86fe-4e84f766ac25</t>
        </is>
      </c>
      <c r="B28" s="8" t="inlineStr">
        <is>
          <t>продана</t>
        </is>
      </c>
      <c r="C28" s="8" t="inlineStr">
        <is>
          <t>3615B</t>
        </is>
      </c>
      <c r="D28" s="8" t="inlineStr">
        <is>
          <t>Можайск</t>
        </is>
      </c>
      <c r="E28" s="8" t="inlineStr">
        <is>
          <t>АД</t>
        </is>
      </c>
      <c r="F28" s="8" t="inlineStr">
        <is>
          <t>денга</t>
        </is>
      </c>
      <c r="G28" s="8" t="inlineStr">
        <is>
          <t>Голова с саблей/строчник</t>
        </is>
      </c>
      <c r="H28" s="9" t="n">
        <v>2</v>
      </c>
      <c r="I28" s="10" t="n">
        <v>40000</v>
      </c>
      <c r="J28" s="8" t="inlineStr">
        <is>
          <t>Гогер</t>
        </is>
      </c>
      <c r="K28" s="9" t="n"/>
      <c r="L28" s="9" t="n">
        <v>46217</v>
      </c>
      <c r="M28" s="10" t="n">
        <v>75000</v>
      </c>
      <c r="N28" s="8" t="inlineStr">
        <is>
          <t>c12aca37-9c5e-4167-bd84-a68f382d657a</t>
        </is>
      </c>
      <c r="O28" s="8" t="inlineStr">
        <is>
          <t>Шувалов</t>
        </is>
      </c>
      <c r="P28" s="10" t="n">
        <v>35000</v>
      </c>
      <c r="Q28" s="13" t="n">
        <v>0.88</v>
      </c>
      <c r="R28" s="10" t="n">
        <v>75000</v>
      </c>
      <c r="S28" s="8" t="inlineStr">
        <is>
          <t>факт</t>
        </is>
      </c>
      <c r="T28" s="10" t="n">
        <v>1</v>
      </c>
      <c r="U28" s="8" t="inlineStr">
        <is>
          <t>факт</t>
        </is>
      </c>
    </row>
    <row r="29">
      <c r="A29" s="8" t="inlineStr">
        <is>
          <t>89eac0ac-ba64-4c34-9cf0-6784f2b14ec9</t>
        </is>
      </c>
      <c r="B29" s="8" t="inlineStr">
        <is>
          <t>продана</t>
        </is>
      </c>
      <c r="C29" s="8" t="inlineStr">
        <is>
          <t>7431A</t>
        </is>
      </c>
      <c r="D29" s="8" t="inlineStr">
        <is>
          <t>Кашин</t>
        </is>
      </c>
      <c r="E29" s="9" t="n"/>
      <c r="F29" s="8" t="inlineStr">
        <is>
          <t>пуло</t>
        </is>
      </c>
      <c r="G29" s="8" t="inlineStr">
        <is>
          <t>птичка/строчник</t>
        </is>
      </c>
      <c r="H29" s="9" t="n"/>
      <c r="I29" s="10" t="n">
        <v>12000</v>
      </c>
      <c r="J29" s="8" t="inlineStr">
        <is>
          <t>клуб</t>
        </is>
      </c>
      <c r="K29" s="9" t="n"/>
      <c r="L29" s="9" t="n">
        <v>46226</v>
      </c>
      <c r="M29" s="10" t="n">
        <v>25000</v>
      </c>
      <c r="N29" s="8" t="inlineStr">
        <is>
          <t>c12aca37-9c5e-4167-bd84-a68f382d657a</t>
        </is>
      </c>
      <c r="O29" s="8" t="inlineStr">
        <is>
          <t>Шувалов</t>
        </is>
      </c>
      <c r="P29" s="10" t="n">
        <v>13000</v>
      </c>
      <c r="Q29" s="13" t="n">
        <v>1.08</v>
      </c>
      <c r="R29" s="10" t="n">
        <v>25000</v>
      </c>
      <c r="S29" s="8" t="inlineStr">
        <is>
          <t>факт</t>
        </is>
      </c>
      <c r="T29" s="10" t="n">
        <v>1</v>
      </c>
      <c r="U29" s="8" t="inlineStr">
        <is>
          <t>факт</t>
        </is>
      </c>
    </row>
    <row r="30">
      <c r="A30" s="8" t="inlineStr">
        <is>
          <t>cde4d11f-3151-477a-8b7f-aa9a2e568eb5</t>
        </is>
      </c>
      <c r="B30" s="8" t="inlineStr">
        <is>
          <t>продана</t>
        </is>
      </c>
      <c r="C30" s="8" t="inlineStr">
        <is>
          <t>7170</t>
        </is>
      </c>
      <c r="D30" s="8" t="inlineStr">
        <is>
          <t>Городен</t>
        </is>
      </c>
      <c r="E30" s="9" t="n"/>
      <c r="F30" s="8" t="inlineStr">
        <is>
          <t>пуло</t>
        </is>
      </c>
      <c r="G30" s="8" t="inlineStr">
        <is>
          <t>Д</t>
        </is>
      </c>
      <c r="H30" s="9" t="n"/>
      <c r="I30" s="10" t="n">
        <v>8000</v>
      </c>
      <c r="J30" s="8" t="inlineStr">
        <is>
          <t>клуб</t>
        </is>
      </c>
      <c r="K30" s="9" t="n"/>
      <c r="L30" s="9" t="n">
        <v>46235</v>
      </c>
      <c r="M30" s="10" t="n">
        <v>15000</v>
      </c>
      <c r="N30" s="8" t="inlineStr">
        <is>
          <t>c12aca37-9c5e-4167-bd84-a68f382d657a</t>
        </is>
      </c>
      <c r="O30" s="8" t="inlineStr">
        <is>
          <t>Шувалов</t>
        </is>
      </c>
      <c r="P30" s="10" t="n">
        <v>7000</v>
      </c>
      <c r="Q30" s="13" t="n">
        <v>0.88</v>
      </c>
      <c r="R30" s="10" t="n">
        <v>15000</v>
      </c>
      <c r="S30" s="8" t="inlineStr">
        <is>
          <t>факт</t>
        </is>
      </c>
      <c r="T30" s="10" t="n">
        <v>1</v>
      </c>
      <c r="U30" s="8" t="inlineStr">
        <is>
          <t>факт</t>
        </is>
      </c>
    </row>
    <row r="31">
      <c r="A31" s="8" t="inlineStr">
        <is>
          <t>21d606fb-0a0b-4e82-bd2e-f620c356b90e</t>
        </is>
      </c>
      <c r="B31" s="8" t="inlineStr">
        <is>
          <t>продана</t>
        </is>
      </c>
      <c r="C31" s="9" t="n"/>
      <c r="D31" s="8" t="inlineStr">
        <is>
          <t>СНВК</t>
        </is>
      </c>
      <c r="E31" s="9" t="n"/>
      <c r="F31" s="8" t="inlineStr">
        <is>
          <t>пуло</t>
        </is>
      </c>
      <c r="G31" s="8" t="inlineStr">
        <is>
          <t>звезда</t>
        </is>
      </c>
      <c r="H31" s="9" t="n"/>
      <c r="I31" s="10" t="n">
        <v>300</v>
      </c>
      <c r="J31" s="8" t="inlineStr">
        <is>
          <t>ревью</t>
        </is>
      </c>
      <c r="K31" s="9" t="n"/>
      <c r="L31" s="9" t="n">
        <v>46244</v>
      </c>
      <c r="M31" s="10" t="n">
        <v>10000</v>
      </c>
      <c r="N31" s="8" t="inlineStr">
        <is>
          <t>c12aca37-9c5e-4167-bd84-a68f382d657a</t>
        </is>
      </c>
      <c r="O31" s="8" t="inlineStr">
        <is>
          <t>Шувалов</t>
        </is>
      </c>
      <c r="P31" s="10" t="n">
        <v>9700</v>
      </c>
      <c r="Q31" s="13" t="n">
        <v>32.33</v>
      </c>
      <c r="R31" s="10" t="n">
        <v>10000</v>
      </c>
      <c r="S31" s="8" t="inlineStr">
        <is>
          <t>факт</t>
        </is>
      </c>
      <c r="T31" s="10" t="n">
        <v>1</v>
      </c>
      <c r="U31" s="8" t="inlineStr">
        <is>
          <t>факт</t>
        </is>
      </c>
    </row>
    <row r="32">
      <c r="A32" s="8" t="inlineStr">
        <is>
          <t>2d022077-5f28-40f2-84d8-e176967af719</t>
        </is>
      </c>
      <c r="B32" s="8" t="inlineStr">
        <is>
          <t>продана</t>
        </is>
      </c>
      <c r="C32" s="8" t="inlineStr">
        <is>
          <t>3004</t>
        </is>
      </c>
      <c r="D32" s="8" t="inlineStr">
        <is>
          <t>Серпухов</t>
        </is>
      </c>
      <c r="E32" s="8" t="inlineStr">
        <is>
          <t>Храбрый</t>
        </is>
      </c>
      <c r="F32" s="8" t="inlineStr">
        <is>
          <t>денга</t>
        </is>
      </c>
      <c r="G32" s="8" t="inlineStr">
        <is>
          <t>бородач с топором</t>
        </is>
      </c>
      <c r="H32" s="9" t="n">
        <v>1</v>
      </c>
      <c r="I32" s="10" t="n">
        <v>39000</v>
      </c>
      <c r="J32" s="8" t="inlineStr">
        <is>
          <t>Петрунин</t>
        </is>
      </c>
      <c r="K32" s="9" t="n"/>
      <c r="L32" s="9" t="n">
        <v>46253</v>
      </c>
      <c r="M32" s="10" t="n">
        <v>50000</v>
      </c>
      <c r="N32" s="8" t="inlineStr">
        <is>
          <t>c12aca37-9c5e-4167-bd84-a68f382d657a</t>
        </is>
      </c>
      <c r="O32" s="8" t="inlineStr">
        <is>
          <t>Шувалов</t>
        </is>
      </c>
      <c r="P32" s="10" t="n">
        <v>11000</v>
      </c>
      <c r="Q32" s="13" t="n">
        <v>0.28</v>
      </c>
      <c r="R32" s="10" t="n">
        <v>50000</v>
      </c>
      <c r="S32" s="8" t="inlineStr">
        <is>
          <t>факт</t>
        </is>
      </c>
      <c r="T32" s="10" t="n">
        <v>1</v>
      </c>
      <c r="U32" s="8" t="inlineStr">
        <is>
          <t>факт</t>
        </is>
      </c>
    </row>
    <row r="33">
      <c r="A33" s="8" t="inlineStr">
        <is>
          <t>332987ee-ec33-421a-97a3-41bc6198687d</t>
        </is>
      </c>
      <c r="B33" s="8" t="inlineStr">
        <is>
          <t>продана</t>
        </is>
      </c>
      <c r="C33" s="8" t="inlineStr">
        <is>
          <t>1575</t>
        </is>
      </c>
      <c r="D33" s="8" t="inlineStr">
        <is>
          <t>СНВК</t>
        </is>
      </c>
      <c r="E33" s="9" t="n"/>
      <c r="F33" s="8" t="inlineStr">
        <is>
          <t>пуло</t>
        </is>
      </c>
      <c r="G33" s="8" t="inlineStr">
        <is>
          <t>барс влево/животное вправо</t>
        </is>
      </c>
      <c r="H33" s="9" t="n">
        <v>2</v>
      </c>
      <c r="I33" s="10" t="n">
        <v>12000</v>
      </c>
      <c r="J33" s="8" t="inlineStr">
        <is>
          <t>Гогер</t>
        </is>
      </c>
      <c r="K33" s="9" t="n"/>
      <c r="L33" s="9" t="n">
        <v>46262</v>
      </c>
      <c r="M33" s="10" t="n">
        <v>25000</v>
      </c>
      <c r="N33" s="8" t="inlineStr">
        <is>
          <t>c12aca37-9c5e-4167-bd84-a68f382d657a</t>
        </is>
      </c>
      <c r="O33" s="8" t="inlineStr">
        <is>
          <t>Шувалов</t>
        </is>
      </c>
      <c r="P33" s="10" t="n">
        <v>13000</v>
      </c>
      <c r="Q33" s="13" t="n">
        <v>1.08</v>
      </c>
      <c r="R33" s="10" t="n">
        <v>25000</v>
      </c>
      <c r="S33" s="8" t="inlineStr">
        <is>
          <t>факт</t>
        </is>
      </c>
      <c r="T33" s="10" t="n">
        <v>1</v>
      </c>
      <c r="U33" s="8" t="inlineStr">
        <is>
          <t>факт</t>
        </is>
      </c>
    </row>
    <row r="34">
      <c r="A34" s="8" t="inlineStr">
        <is>
          <t>5184938a-5af4-4542-82f0-a7c567e65939</t>
        </is>
      </c>
      <c r="B34" s="8" t="inlineStr">
        <is>
          <t>продана</t>
        </is>
      </c>
      <c r="C34" s="8" t="inlineStr">
        <is>
          <t>4030С</t>
        </is>
      </c>
      <c r="D34" s="8" t="inlineStr">
        <is>
          <t>Тверь</t>
        </is>
      </c>
      <c r="E34" s="8" t="inlineStr">
        <is>
          <t>БА</t>
        </is>
      </c>
      <c r="F34" s="8" t="inlineStr">
        <is>
          <t>денга</t>
        </is>
      </c>
      <c r="G34" s="8" t="inlineStr">
        <is>
          <t>перечекан барс на ВД</t>
        </is>
      </c>
      <c r="H34" s="9" t="n"/>
      <c r="I34" s="10" t="n">
        <v>8000</v>
      </c>
      <c r="J34" s="8" t="inlineStr">
        <is>
          <t>Петрунин</t>
        </is>
      </c>
      <c r="K34" s="9" t="n"/>
      <c r="L34" s="9" t="n">
        <v>46271</v>
      </c>
      <c r="M34" s="10" t="n">
        <v>15000</v>
      </c>
      <c r="N34" s="8" t="inlineStr">
        <is>
          <t>c12aca37-9c5e-4167-bd84-a68f382d657a</t>
        </is>
      </c>
      <c r="O34" s="8" t="inlineStr">
        <is>
          <t>Шувалов</t>
        </is>
      </c>
      <c r="P34" s="10" t="n">
        <v>7000</v>
      </c>
      <c r="Q34" s="13" t="n">
        <v>0.88</v>
      </c>
      <c r="R34" s="10" t="n">
        <v>15000</v>
      </c>
      <c r="S34" s="8" t="inlineStr">
        <is>
          <t>факт</t>
        </is>
      </c>
      <c r="T34" s="10" t="n">
        <v>1</v>
      </c>
      <c r="U34" s="8" t="inlineStr">
        <is>
          <t>факт</t>
        </is>
      </c>
    </row>
    <row r="35">
      <c r="A35" s="8" t="inlineStr">
        <is>
          <t>4f7a5bdd-e9e6-4c19-ac4d-2285476e24ff</t>
        </is>
      </c>
      <c r="B35" s="8" t="inlineStr">
        <is>
          <t>продана</t>
        </is>
      </c>
      <c r="C35" s="8" t="inlineStr">
        <is>
          <t>4031С</t>
        </is>
      </c>
      <c r="D35" s="8" t="inlineStr">
        <is>
          <t>Тверь</t>
        </is>
      </c>
      <c r="E35" s="8" t="inlineStr">
        <is>
          <t>БА</t>
        </is>
      </c>
      <c r="F35" s="8" t="inlineStr">
        <is>
          <t>денга</t>
        </is>
      </c>
      <c r="G35" s="8" t="inlineStr">
        <is>
          <t>барс/подражание</t>
        </is>
      </c>
      <c r="H35" s="9" t="n"/>
      <c r="I35" s="10" t="n">
        <v>12000</v>
      </c>
      <c r="J35" s="8" t="inlineStr">
        <is>
          <t>Петрунин</t>
        </is>
      </c>
      <c r="K35" s="9" t="n"/>
      <c r="L35" s="9" t="n">
        <v>46280</v>
      </c>
      <c r="M35" s="10" t="n">
        <v>20000</v>
      </c>
      <c r="N35" s="8" t="inlineStr">
        <is>
          <t>c12aca37-9c5e-4167-bd84-a68f382d657a</t>
        </is>
      </c>
      <c r="O35" s="8" t="inlineStr">
        <is>
          <t>Шувалов</t>
        </is>
      </c>
      <c r="P35" s="10" t="n">
        <v>8000</v>
      </c>
      <c r="Q35" s="13" t="n">
        <v>0.67</v>
      </c>
      <c r="R35" s="10" t="n">
        <v>20000</v>
      </c>
      <c r="S35" s="8" t="inlineStr">
        <is>
          <t>факт</t>
        </is>
      </c>
      <c r="T35" s="10" t="n">
        <v>1</v>
      </c>
      <c r="U35" s="8" t="inlineStr">
        <is>
          <t>факт</t>
        </is>
      </c>
    </row>
    <row r="36">
      <c r="A36" s="8" t="inlineStr">
        <is>
          <t>bea03ac8-6dd7-4bdd-85ff-c5edc6ee6eea</t>
        </is>
      </c>
      <c r="B36" s="8" t="inlineStr">
        <is>
          <t>продана</t>
        </is>
      </c>
      <c r="C36" s="8" t="inlineStr">
        <is>
          <t>7071</t>
        </is>
      </c>
      <c r="D36" s="8" t="inlineStr">
        <is>
          <t>Тверь</t>
        </is>
      </c>
      <c r="E36" s="8" t="inlineStr">
        <is>
          <t>БА</t>
        </is>
      </c>
      <c r="F36" s="8" t="inlineStr">
        <is>
          <t>денга</t>
        </is>
      </c>
      <c r="G36" s="8" t="inlineStr">
        <is>
          <t>воин влево/лучник стреляет в птицу</t>
        </is>
      </c>
      <c r="H36" s="9" t="n">
        <v>1</v>
      </c>
      <c r="I36" s="10" t="n">
        <v>12000</v>
      </c>
      <c r="J36" s="8" t="inlineStr">
        <is>
          <t>клуб</t>
        </is>
      </c>
      <c r="K36" s="9" t="n"/>
      <c r="L36" s="9" t="n">
        <v>46281</v>
      </c>
      <c r="M36" s="10" t="n">
        <v>22000</v>
      </c>
      <c r="N36" s="8" t="inlineStr">
        <is>
          <t>c12aca37-9c5e-4167-bd84-a68f382d657a</t>
        </is>
      </c>
      <c r="O36" s="8" t="inlineStr">
        <is>
          <t>Шувалов</t>
        </is>
      </c>
      <c r="P36" s="10" t="n">
        <v>10000</v>
      </c>
      <c r="Q36" s="13" t="n">
        <v>0.83</v>
      </c>
      <c r="R36" s="10" t="n">
        <v>22000</v>
      </c>
      <c r="S36" s="8" t="inlineStr">
        <is>
          <t>факт</t>
        </is>
      </c>
      <c r="T36" s="10" t="n">
        <v>1</v>
      </c>
      <c r="U36" s="8" t="inlineStr">
        <is>
          <t>факт</t>
        </is>
      </c>
    </row>
    <row r="37">
      <c r="A37" s="8" t="inlineStr">
        <is>
          <t>617939e7-ad32-47fe-8da1-49d0b4148a2b</t>
        </is>
      </c>
      <c r="B37" s="8" t="inlineStr">
        <is>
          <t>продана</t>
        </is>
      </c>
      <c r="C37" s="8" t="inlineStr">
        <is>
          <t>7004В</t>
        </is>
      </c>
      <c r="D37" s="8" t="inlineStr">
        <is>
          <t>Тверь</t>
        </is>
      </c>
      <c r="E37" s="8" t="inlineStr">
        <is>
          <t>ИМ</t>
        </is>
      </c>
      <c r="F37" s="8" t="inlineStr">
        <is>
          <t>денга</t>
        </is>
      </c>
      <c r="G37" s="8" t="inlineStr">
        <is>
          <t>голова в короне/воин</t>
        </is>
      </c>
      <c r="H37" s="9" t="n">
        <v>4</v>
      </c>
      <c r="I37" s="10" t="n">
        <v>20000</v>
      </c>
      <c r="J37" s="8" t="inlineStr">
        <is>
          <t>Петрунин</t>
        </is>
      </c>
      <c r="K37" s="9" t="n"/>
      <c r="L37" s="9" t="n">
        <v>46282</v>
      </c>
      <c r="M37" s="10" t="n">
        <v>30000</v>
      </c>
      <c r="N37" s="8" t="inlineStr">
        <is>
          <t>c12aca37-9c5e-4167-bd84-a68f382d657a</t>
        </is>
      </c>
      <c r="O37" s="8" t="inlineStr">
        <is>
          <t>Шувалов</t>
        </is>
      </c>
      <c r="P37" s="10" t="n">
        <v>10000</v>
      </c>
      <c r="Q37" s="13" t="n">
        <v>0.5</v>
      </c>
      <c r="R37" s="10" t="n">
        <v>30000</v>
      </c>
      <c r="S37" s="8" t="inlineStr">
        <is>
          <t>факт</t>
        </is>
      </c>
      <c r="T37" s="10" t="n">
        <v>1</v>
      </c>
      <c r="U37" s="8" t="inlineStr">
        <is>
          <t>факт</t>
        </is>
      </c>
    </row>
    <row r="38">
      <c r="A38" s="8" t="inlineStr">
        <is>
          <t>9b0db45a-5e87-4635-a5e4-e8a3aa1e6fc7</t>
        </is>
      </c>
      <c r="B38" s="8" t="inlineStr">
        <is>
          <t>продана</t>
        </is>
      </c>
      <c r="C38" s="8" t="inlineStr">
        <is>
          <t>7005</t>
        </is>
      </c>
      <c r="D38" s="8" t="inlineStr">
        <is>
          <t>Тверь</t>
        </is>
      </c>
      <c r="E38" s="8" t="inlineStr">
        <is>
          <t>ИМ</t>
        </is>
      </c>
      <c r="F38" s="8" t="inlineStr">
        <is>
          <t>денга</t>
        </is>
      </c>
      <c r="G38" s="8" t="inlineStr">
        <is>
          <t>зверь вправо/воин с копьём</t>
        </is>
      </c>
      <c r="H38" s="9" t="n">
        <v>4</v>
      </c>
      <c r="I38" s="10" t="n">
        <v>20000</v>
      </c>
      <c r="J38" s="8" t="inlineStr">
        <is>
          <t>Петрунин</t>
        </is>
      </c>
      <c r="K38" s="9" t="n"/>
      <c r="L38" s="9" t="n">
        <v>46283</v>
      </c>
      <c r="M38" s="10" t="n">
        <v>35000</v>
      </c>
      <c r="N38" s="8" t="inlineStr">
        <is>
          <t>c12aca37-9c5e-4167-bd84-a68f382d657a</t>
        </is>
      </c>
      <c r="O38" s="8" t="inlineStr">
        <is>
          <t>Шувалов</t>
        </is>
      </c>
      <c r="P38" s="10" t="n">
        <v>15000</v>
      </c>
      <c r="Q38" s="13" t="n">
        <v>0.75</v>
      </c>
      <c r="R38" s="10" t="n">
        <v>35000</v>
      </c>
      <c r="S38" s="8" t="inlineStr">
        <is>
          <t>факт</t>
        </is>
      </c>
      <c r="T38" s="10" t="n">
        <v>1</v>
      </c>
      <c r="U38" s="8" t="inlineStr">
        <is>
          <t>факт</t>
        </is>
      </c>
    </row>
    <row r="39">
      <c r="A39" s="8" t="inlineStr">
        <is>
          <t>c185cb30-bfb0-4005-a0d3-9d8c4f2033e2</t>
        </is>
      </c>
      <c r="B39" s="8" t="inlineStr">
        <is>
          <t>продана</t>
        </is>
      </c>
      <c r="C39" s="8" t="inlineStr">
        <is>
          <t>NEW</t>
        </is>
      </c>
      <c r="D39" s="8" t="inlineStr">
        <is>
          <t>Москва</t>
        </is>
      </c>
      <c r="E39" s="8" t="inlineStr">
        <is>
          <t>ВД</t>
        </is>
      </c>
      <c r="F39" s="8" t="inlineStr">
        <is>
          <t>денга</t>
        </is>
      </c>
      <c r="G39" s="8" t="inlineStr">
        <is>
          <t>щука</t>
        </is>
      </c>
      <c r="H39" s="9" t="n">
        <v>1</v>
      </c>
      <c r="I39" s="10" t="n">
        <v>20000</v>
      </c>
      <c r="J39" s="8" t="inlineStr">
        <is>
          <t>Гогер</t>
        </is>
      </c>
      <c r="K39" s="9" t="n"/>
      <c r="L39" s="9" t="n">
        <v>46284</v>
      </c>
      <c r="M39" s="10" t="n">
        <v>70000</v>
      </c>
      <c r="N39" s="8" t="inlineStr">
        <is>
          <t>c12aca37-9c5e-4167-bd84-a68f382d657a</t>
        </is>
      </c>
      <c r="O39" s="8" t="inlineStr">
        <is>
          <t>Шувалов</t>
        </is>
      </c>
      <c r="P39" s="10" t="n">
        <v>50000</v>
      </c>
      <c r="Q39" s="13" t="n">
        <v>2.5</v>
      </c>
      <c r="R39" s="10" t="n">
        <v>70000</v>
      </c>
      <c r="S39" s="8" t="inlineStr">
        <is>
          <t>факт</t>
        </is>
      </c>
      <c r="T39" s="10" t="n">
        <v>1</v>
      </c>
      <c r="U39" s="8" t="inlineStr">
        <is>
          <t>факт</t>
        </is>
      </c>
    </row>
    <row r="40">
      <c r="A40" s="8" t="inlineStr">
        <is>
          <t>60273cf6-d0db-4ceb-83f2-921831cab000</t>
        </is>
      </c>
      <c r="B40" s="8" t="inlineStr">
        <is>
          <t>продана</t>
        </is>
      </c>
      <c r="C40" s="9" t="n"/>
      <c r="D40" s="8" t="inlineStr">
        <is>
          <t>Москва</t>
        </is>
      </c>
      <c r="E40" s="8" t="inlineStr">
        <is>
          <t>ВД</t>
        </is>
      </c>
      <c r="F40" s="8" t="inlineStr">
        <is>
          <t>денга</t>
        </is>
      </c>
      <c r="G40" s="8" t="inlineStr">
        <is>
          <t>художественный петух/подражание</t>
        </is>
      </c>
      <c r="H40" s="9" t="n"/>
      <c r="I40" s="10" t="n">
        <v>35000</v>
      </c>
      <c r="J40" s="8" t="inlineStr">
        <is>
          <t>ревью</t>
        </is>
      </c>
      <c r="K40" s="9" t="n"/>
      <c r="L40" s="9" t="n">
        <v>46285</v>
      </c>
      <c r="M40" s="10" t="n">
        <v>60000</v>
      </c>
      <c r="N40" s="8" t="inlineStr">
        <is>
          <t>c12aca37-9c5e-4167-bd84-a68f382d657a</t>
        </is>
      </c>
      <c r="O40" s="8" t="inlineStr">
        <is>
          <t>Шувалов</t>
        </is>
      </c>
      <c r="P40" s="10" t="n">
        <v>25000</v>
      </c>
      <c r="Q40" s="13" t="n">
        <v>0.71</v>
      </c>
      <c r="R40" s="10" t="n">
        <v>60000</v>
      </c>
      <c r="S40" s="8" t="inlineStr">
        <is>
          <t>факт</t>
        </is>
      </c>
      <c r="T40" s="10" t="n">
        <v>1</v>
      </c>
      <c r="U40" s="8" t="inlineStr">
        <is>
          <t>факт</t>
        </is>
      </c>
    </row>
    <row r="41">
      <c r="A41" s="8" t="inlineStr">
        <is>
          <t>f437c993-65fa-41a7-8e23-d03869298397</t>
        </is>
      </c>
      <c r="B41" s="8" t="inlineStr">
        <is>
          <t>продана</t>
        </is>
      </c>
      <c r="C41" s="9" t="n"/>
      <c r="D41" s="8" t="inlineStr">
        <is>
          <t>Серпухов</t>
        </is>
      </c>
      <c r="E41" s="8" t="inlineStr">
        <is>
          <t>Храбрый</t>
        </is>
      </c>
      <c r="F41" s="8" t="inlineStr">
        <is>
          <t>денга</t>
        </is>
      </c>
      <c r="G41" s="8" t="inlineStr">
        <is>
          <t>лучник</t>
        </is>
      </c>
      <c r="H41" s="9" t="n"/>
      <c r="I41" s="10" t="n">
        <v>70000</v>
      </c>
      <c r="J41" s="8" t="inlineStr">
        <is>
          <t>клуб</t>
        </is>
      </c>
      <c r="K41" s="9" t="n"/>
      <c r="L41" s="9" t="n">
        <v>46286</v>
      </c>
      <c r="M41" s="10" t="n">
        <v>100000</v>
      </c>
      <c r="N41" s="8" t="inlineStr">
        <is>
          <t>c12aca37-9c5e-4167-bd84-a68f382d657a</t>
        </is>
      </c>
      <c r="O41" s="8" t="inlineStr">
        <is>
          <t>Шувалов</t>
        </is>
      </c>
      <c r="P41" s="10" t="n">
        <v>30000</v>
      </c>
      <c r="Q41" s="13" t="n">
        <v>0.43</v>
      </c>
      <c r="R41" s="10" t="n">
        <v>100000</v>
      </c>
      <c r="S41" s="8" t="inlineStr">
        <is>
          <t>факт</t>
        </is>
      </c>
      <c r="T41" s="10" t="n">
        <v>1</v>
      </c>
      <c r="U41" s="8" t="inlineStr">
        <is>
          <t>факт</t>
        </is>
      </c>
    </row>
    <row r="42">
      <c r="A42" s="8" t="inlineStr">
        <is>
          <t>2094c586-8844-4edb-87a5-04b9155ff68f</t>
        </is>
      </c>
      <c r="B42" s="8" t="inlineStr">
        <is>
          <t>продана</t>
        </is>
      </c>
      <c r="C42" s="9" t="n"/>
      <c r="D42" s="8" t="inlineStr">
        <is>
          <t>Москва</t>
        </is>
      </c>
      <c r="E42" s="8" t="inlineStr">
        <is>
          <t>ВД</t>
        </is>
      </c>
      <c r="F42" s="8" t="inlineStr">
        <is>
          <t>денга</t>
        </is>
      </c>
      <c r="G42" s="8" t="inlineStr">
        <is>
          <t>оставите безумье и живы бу</t>
        </is>
      </c>
      <c r="H42" s="9" t="n"/>
      <c r="I42" s="10" t="n">
        <v>34000</v>
      </c>
      <c r="J42" s="8" t="inlineStr">
        <is>
          <t>ревью</t>
        </is>
      </c>
      <c r="K42" s="9" t="n"/>
      <c r="L42" s="9" t="n">
        <v>46287</v>
      </c>
      <c r="M42" s="10" t="n">
        <v>40000</v>
      </c>
      <c r="N42" s="8" t="inlineStr">
        <is>
          <t>c12aca37-9c5e-4167-bd84-a68f382d657a</t>
        </is>
      </c>
      <c r="O42" s="8" t="inlineStr">
        <is>
          <t>Шувалов</t>
        </is>
      </c>
      <c r="P42" s="10" t="n">
        <v>6000</v>
      </c>
      <c r="Q42" s="13" t="n">
        <v>0.18</v>
      </c>
      <c r="R42" s="10" t="n">
        <v>40000</v>
      </c>
      <c r="S42" s="8" t="inlineStr">
        <is>
          <t>факт</t>
        </is>
      </c>
      <c r="T42" s="10" t="n">
        <v>1</v>
      </c>
      <c r="U42" s="8" t="inlineStr">
        <is>
          <t>факт</t>
        </is>
      </c>
    </row>
    <row r="43">
      <c r="A43" s="8" t="inlineStr">
        <is>
          <t>66919e74-c1fb-4a49-b2fe-c56468c44e02</t>
        </is>
      </c>
      <c r="B43" s="8" t="inlineStr">
        <is>
          <t>продана</t>
        </is>
      </c>
      <c r="C43" s="9" t="n"/>
      <c r="D43" s="8" t="inlineStr">
        <is>
          <t>Москва</t>
        </is>
      </c>
      <c r="E43" s="8" t="inlineStr">
        <is>
          <t>ВД</t>
        </is>
      </c>
      <c r="F43" s="8" t="inlineStr">
        <is>
          <t>полуденга</t>
        </is>
      </c>
      <c r="G43" s="8" t="inlineStr">
        <is>
          <t>лицо/строчник</t>
        </is>
      </c>
      <c r="H43" s="9" t="n"/>
      <c r="I43" s="10" t="n">
        <v>15000</v>
      </c>
      <c r="J43" s="8" t="inlineStr">
        <is>
          <t>Гогер</t>
        </is>
      </c>
      <c r="K43" s="9" t="n"/>
      <c r="L43" s="9" t="n">
        <v>46288</v>
      </c>
      <c r="M43" s="10" t="n">
        <v>40000</v>
      </c>
      <c r="N43" s="8" t="inlineStr">
        <is>
          <t>c12aca37-9c5e-4167-bd84-a68f382d657a</t>
        </is>
      </c>
      <c r="O43" s="8" t="inlineStr">
        <is>
          <t>Шувалов</t>
        </is>
      </c>
      <c r="P43" s="10" t="n">
        <v>25000</v>
      </c>
      <c r="Q43" s="13" t="n">
        <v>1.67</v>
      </c>
      <c r="R43" s="10" t="n">
        <v>40000</v>
      </c>
      <c r="S43" s="8" t="inlineStr">
        <is>
          <t>факт</t>
        </is>
      </c>
      <c r="T43" s="10" t="n">
        <v>1</v>
      </c>
      <c r="U43" s="8" t="inlineStr">
        <is>
          <t>факт</t>
        </is>
      </c>
    </row>
    <row r="44">
      <c r="A44" s="8" t="inlineStr">
        <is>
          <t>5d5e924d-bbf8-4132-b3f8-29cb15b580c1</t>
        </is>
      </c>
      <c r="B44" s="8" t="inlineStr">
        <is>
          <t>продана</t>
        </is>
      </c>
      <c r="C44" s="8" t="inlineStr">
        <is>
          <t>1605G</t>
        </is>
      </c>
      <c r="D44" s="8" t="inlineStr">
        <is>
          <t>Москва</t>
        </is>
      </c>
      <c r="E44" s="8" t="inlineStr">
        <is>
          <t>ВД</t>
        </is>
      </c>
      <c r="F44" s="8" t="inlineStr">
        <is>
          <t>денга</t>
        </is>
      </c>
      <c r="G44" s="8" t="inlineStr">
        <is>
          <t>химера/великого князя великого</t>
        </is>
      </c>
      <c r="H44" s="9" t="n">
        <v>1</v>
      </c>
      <c r="I44" s="10" t="n">
        <v>15000</v>
      </c>
      <c r="J44" s="8" t="inlineStr">
        <is>
          <t>Гогер</t>
        </is>
      </c>
      <c r="K44" s="9" t="n"/>
      <c r="L44" s="9" t="n">
        <v>46289</v>
      </c>
      <c r="M44" s="10" t="n">
        <v>30000</v>
      </c>
      <c r="N44" s="8" t="inlineStr">
        <is>
          <t>c12aca37-9c5e-4167-bd84-a68f382d657a</t>
        </is>
      </c>
      <c r="O44" s="8" t="inlineStr">
        <is>
          <t>Шувалов</t>
        </is>
      </c>
      <c r="P44" s="10" t="n">
        <v>15000</v>
      </c>
      <c r="Q44" s="13" t="n">
        <v>1</v>
      </c>
      <c r="R44" s="10" t="n">
        <v>30000</v>
      </c>
      <c r="S44" s="8" t="inlineStr">
        <is>
          <t>факт</t>
        </is>
      </c>
      <c r="T44" s="10" t="n">
        <v>1</v>
      </c>
      <c r="U44" s="8" t="inlineStr">
        <is>
          <t>факт</t>
        </is>
      </c>
    </row>
    <row r="45">
      <c r="A45" s="8" t="inlineStr">
        <is>
          <t>c6b2da22-a96b-49a3-b8cd-3cfa5797da9f</t>
        </is>
      </c>
      <c r="B45" s="8" t="inlineStr">
        <is>
          <t>продана</t>
        </is>
      </c>
      <c r="C45" s="9" t="n"/>
      <c r="D45" s="8" t="inlineStr">
        <is>
          <t>Кашин</t>
        </is>
      </c>
      <c r="E45" s="8" t="inlineStr">
        <is>
          <t>МБ</t>
        </is>
      </c>
      <c r="F45" s="8" t="inlineStr">
        <is>
          <t>денга</t>
        </is>
      </c>
      <c r="G45" s="8" t="inlineStr">
        <is>
          <t>лучник стреляет в птицу на дереве/стр</t>
        </is>
      </c>
      <c r="H45" s="9" t="n"/>
      <c r="I45" s="10" t="n">
        <v>28000</v>
      </c>
      <c r="J45" s="8" t="inlineStr">
        <is>
          <t>Петрунин</t>
        </is>
      </c>
      <c r="K45" s="9" t="n"/>
      <c r="L45" s="9" t="n">
        <v>46290</v>
      </c>
      <c r="M45" s="10" t="n">
        <v>35000</v>
      </c>
      <c r="N45" s="8" t="inlineStr">
        <is>
          <t>c12aca37-9c5e-4167-bd84-a68f382d657a</t>
        </is>
      </c>
      <c r="O45" s="8" t="inlineStr">
        <is>
          <t>Шувалов</t>
        </is>
      </c>
      <c r="P45" s="10" t="n">
        <v>7000</v>
      </c>
      <c r="Q45" s="13" t="n">
        <v>0.25</v>
      </c>
      <c r="R45" s="10" t="n">
        <v>35000</v>
      </c>
      <c r="S45" s="8" t="inlineStr">
        <is>
          <t>факт</t>
        </is>
      </c>
      <c r="T45" s="10" t="n">
        <v>1</v>
      </c>
      <c r="U45" s="8" t="inlineStr">
        <is>
          <t>факт</t>
        </is>
      </c>
    </row>
    <row r="46">
      <c r="A46" s="8" t="inlineStr">
        <is>
          <t>aebef55a-c429-4d99-ae8d-42b068e7f14a</t>
        </is>
      </c>
      <c r="B46" s="8" t="inlineStr">
        <is>
          <t>продана</t>
        </is>
      </c>
      <c r="C46" s="9" t="n"/>
      <c r="D46" s="8" t="inlineStr">
        <is>
          <t>Москва</t>
        </is>
      </c>
      <c r="E46" s="8" t="inlineStr">
        <is>
          <t>ДД</t>
        </is>
      </c>
      <c r="F46" s="8" t="inlineStr">
        <is>
          <t>денга</t>
        </is>
      </c>
      <c r="G46" s="8" t="inlineStr">
        <is>
          <t>воин именной</t>
        </is>
      </c>
      <c r="H46" s="9" t="n"/>
      <c r="I46" s="10" t="n">
        <v>42000</v>
      </c>
      <c r="J46" s="8" t="inlineStr">
        <is>
          <t>Макс</t>
        </is>
      </c>
      <c r="K46" s="9" t="n"/>
      <c r="L46" s="9" t="n">
        <v>46291</v>
      </c>
      <c r="M46" s="10" t="n">
        <v>50000</v>
      </c>
      <c r="N46" s="8" t="inlineStr">
        <is>
          <t>c12aca37-9c5e-4167-bd84-a68f382d657a</t>
        </is>
      </c>
      <c r="O46" s="8" t="inlineStr">
        <is>
          <t>Шувалов</t>
        </is>
      </c>
      <c r="P46" s="10" t="n">
        <v>8000</v>
      </c>
      <c r="Q46" s="13" t="n">
        <v>0.19</v>
      </c>
      <c r="R46" s="10" t="n">
        <v>50000</v>
      </c>
      <c r="S46" s="8" t="inlineStr">
        <is>
          <t>факт</t>
        </is>
      </c>
      <c r="T46" s="10" t="n">
        <v>1</v>
      </c>
      <c r="U46" s="8" t="inlineStr">
        <is>
          <t>факт</t>
        </is>
      </c>
    </row>
    <row r="47">
      <c r="A47" s="8" t="inlineStr">
        <is>
          <t>622ddfd3-cd04-4e0f-bdb0-1eadbe492b6f</t>
        </is>
      </c>
      <c r="B47" s="8" t="inlineStr">
        <is>
          <t>продана</t>
        </is>
      </c>
      <c r="C47" s="9" t="n"/>
      <c r="D47" s="8" t="inlineStr">
        <is>
          <t>Можайск</t>
        </is>
      </c>
      <c r="E47" s="8" t="inlineStr">
        <is>
          <t>АД</t>
        </is>
      </c>
      <c r="F47" s="8" t="inlineStr">
        <is>
          <t>денга</t>
        </is>
      </c>
      <c r="G47" s="8" t="inlineStr">
        <is>
          <t>саксофон/лошадь, перечекан из ВД</t>
        </is>
      </c>
      <c r="H47" s="9" t="n">
        <v>1</v>
      </c>
      <c r="I47" s="10" t="n">
        <v>45000</v>
      </c>
      <c r="J47" s="8" t="inlineStr">
        <is>
          <t>Михайленко</t>
        </is>
      </c>
      <c r="K47" s="9" t="n"/>
      <c r="L47" s="9" t="n">
        <v>46292</v>
      </c>
      <c r="M47" s="10" t="n">
        <v>65000</v>
      </c>
      <c r="N47" s="8" t="inlineStr">
        <is>
          <t>c12aca37-9c5e-4167-bd84-a68f382d657a</t>
        </is>
      </c>
      <c r="O47" s="8" t="inlineStr">
        <is>
          <t>Шувалов</t>
        </is>
      </c>
      <c r="P47" s="10" t="n">
        <v>20000</v>
      </c>
      <c r="Q47" s="13" t="n">
        <v>0.44</v>
      </c>
      <c r="R47" s="10" t="n">
        <v>65000</v>
      </c>
      <c r="S47" s="8" t="inlineStr">
        <is>
          <t>факт</t>
        </is>
      </c>
      <c r="T47" s="10" t="n">
        <v>1</v>
      </c>
      <c r="U47" s="8" t="inlineStr">
        <is>
          <t>факт</t>
        </is>
      </c>
    </row>
    <row r="48">
      <c r="A48" s="8" t="inlineStr">
        <is>
          <t>33bb3f03-3b92-4e30-8154-a83365bd1b32</t>
        </is>
      </c>
      <c r="B48" s="8" t="inlineStr">
        <is>
          <t>продана</t>
        </is>
      </c>
      <c r="C48" s="9" t="n"/>
      <c r="D48" s="8" t="inlineStr">
        <is>
          <t>Тверь</t>
        </is>
      </c>
      <c r="E48" s="8" t="inlineStr">
        <is>
          <t>МБ</t>
        </is>
      </c>
      <c r="F48" s="8" t="inlineStr">
        <is>
          <t>денга</t>
        </is>
      </c>
      <c r="G48" s="8" t="inlineStr">
        <is>
          <t>двуглавый орёл</t>
        </is>
      </c>
      <c r="H48" s="9" t="n"/>
      <c r="I48" s="10" t="n">
        <v>28000</v>
      </c>
      <c r="J48" s="8" t="inlineStr">
        <is>
          <t>клуб</t>
        </is>
      </c>
      <c r="K48" s="9" t="n"/>
      <c r="L48" s="9" t="n">
        <v>46293</v>
      </c>
      <c r="M48" s="10" t="n">
        <v>36000</v>
      </c>
      <c r="N48" s="8" t="inlineStr">
        <is>
          <t>c12aca37-9c5e-4167-bd84-a68f382d657a</t>
        </is>
      </c>
      <c r="O48" s="8" t="inlineStr">
        <is>
          <t>Шувалов</t>
        </is>
      </c>
      <c r="P48" s="10" t="n">
        <v>8000</v>
      </c>
      <c r="Q48" s="13" t="n">
        <v>0.29</v>
      </c>
      <c r="R48" s="10" t="n">
        <v>36000</v>
      </c>
      <c r="S48" s="8" t="inlineStr">
        <is>
          <t>факт</t>
        </is>
      </c>
      <c r="T48" s="10" t="n">
        <v>1</v>
      </c>
      <c r="U48" s="8" t="inlineStr">
        <is>
          <t>факт</t>
        </is>
      </c>
    </row>
    <row r="49">
      <c r="A49" s="8" t="inlineStr">
        <is>
          <t>6e4ced04-c387-4d7a-8d1c-d0bb9668d8b9</t>
        </is>
      </c>
      <c r="B49" s="8" t="inlineStr">
        <is>
          <t>продана</t>
        </is>
      </c>
      <c r="C49" s="9" t="n"/>
      <c r="D49" s="8" t="inlineStr">
        <is>
          <t>Серпухов</t>
        </is>
      </c>
      <c r="E49" s="8" t="inlineStr">
        <is>
          <t>Храбрый</t>
        </is>
      </c>
      <c r="F49" s="8" t="inlineStr">
        <is>
          <t>денга</t>
        </is>
      </c>
      <c r="G49" s="8" t="inlineStr">
        <is>
          <t>знаменосец</t>
        </is>
      </c>
      <c r="H49" s="9" t="n"/>
      <c r="I49" s="10" t="n">
        <v>6000</v>
      </c>
      <c r="J49" s="8" t="inlineStr">
        <is>
          <t>ревью</t>
        </is>
      </c>
      <c r="K49" s="9" t="n"/>
      <c r="L49" s="9" t="n">
        <v>46294</v>
      </c>
      <c r="M49" s="10" t="n">
        <v>25000</v>
      </c>
      <c r="N49" s="8" t="inlineStr">
        <is>
          <t>c12aca37-9c5e-4167-bd84-a68f382d657a</t>
        </is>
      </c>
      <c r="O49" s="8" t="inlineStr">
        <is>
          <t>Шувалов</t>
        </is>
      </c>
      <c r="P49" s="10" t="n">
        <v>19000</v>
      </c>
      <c r="Q49" s="13" t="n">
        <v>3.17</v>
      </c>
      <c r="R49" s="10" t="n">
        <v>25000</v>
      </c>
      <c r="S49" s="8" t="inlineStr">
        <is>
          <t>факт</t>
        </is>
      </c>
      <c r="T49" s="10" t="n">
        <v>1</v>
      </c>
      <c r="U49" s="8" t="inlineStr">
        <is>
          <t>факт</t>
        </is>
      </c>
    </row>
    <row r="50">
      <c r="A50" s="8" t="inlineStr">
        <is>
          <t>9f301119-aba9-4b98-abb7-c932ff2bc323</t>
        </is>
      </c>
      <c r="B50" s="8" t="inlineStr">
        <is>
          <t>доступна</t>
        </is>
      </c>
      <c r="C50" s="8" t="inlineStr">
        <is>
          <t>1000A</t>
        </is>
      </c>
      <c r="D50" s="8" t="inlineStr">
        <is>
          <t>Москва</t>
        </is>
      </c>
      <c r="E50" s="8" t="inlineStr">
        <is>
          <t>ДД</t>
        </is>
      </c>
      <c r="F50" s="8" t="inlineStr">
        <is>
          <t>денга</t>
        </is>
      </c>
      <c r="G50" s="9" t="n"/>
      <c r="H50" s="9" t="n">
        <v>4</v>
      </c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0" t="n">
        <v>45000</v>
      </c>
      <c r="S50" s="8" t="inlineStr">
        <is>
          <t>княжество+князь</t>
        </is>
      </c>
      <c r="T50" s="10" t="n">
        <v>2</v>
      </c>
      <c r="U50" s="8" t="inlineStr">
        <is>
          <t>по аналогам (княжество+князь)</t>
        </is>
      </c>
    </row>
    <row r="51">
      <c r="A51" s="8" t="inlineStr">
        <is>
          <t>f6c08882-118c-434a-8f8f-c1c0c5ded8e8</t>
        </is>
      </c>
      <c r="B51" s="8" t="inlineStr">
        <is>
          <t>доступна</t>
        </is>
      </c>
      <c r="C51" s="8" t="inlineStr">
        <is>
          <t>3004</t>
        </is>
      </c>
      <c r="D51" s="8" t="inlineStr">
        <is>
          <t>Серпухов</t>
        </is>
      </c>
      <c r="E51" s="8" t="inlineStr">
        <is>
          <t>Храбрый</t>
        </is>
      </c>
      <c r="F51" s="8" t="inlineStr">
        <is>
          <t>денга</t>
        </is>
      </c>
      <c r="G51" s="9" t="n"/>
      <c r="H51" s="9" t="n">
        <v>1</v>
      </c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0" t="n">
        <v>50000</v>
      </c>
      <c r="S51" s="8" t="inlineStr">
        <is>
          <t>ГП2 3004</t>
        </is>
      </c>
      <c r="T51" s="10" t="n">
        <v>1</v>
      </c>
      <c r="U51" s="8" t="inlineStr">
        <is>
          <t>по аналогам (ГП2 3004)</t>
        </is>
      </c>
    </row>
    <row r="52">
      <c r="A52" s="8" t="inlineStr">
        <is>
          <t>ca2321c1-421f-432f-baf9-697abf81475c</t>
        </is>
      </c>
      <c r="B52" s="8" t="inlineStr">
        <is>
          <t>доступна</t>
        </is>
      </c>
      <c r="C52" s="8" t="inlineStr">
        <is>
          <t>1575</t>
        </is>
      </c>
      <c r="D52" s="8" t="inlineStr">
        <is>
          <t>СНВК</t>
        </is>
      </c>
      <c r="E52" s="9" t="n"/>
      <c r="F52" s="8" t="inlineStr">
        <is>
          <t>пуло</t>
        </is>
      </c>
      <c r="G52" s="9" t="n"/>
      <c r="H52" s="9" t="n">
        <v>2</v>
      </c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>
        <v>25000</v>
      </c>
      <c r="S52" s="8" t="inlineStr">
        <is>
          <t>ГП2 1575</t>
        </is>
      </c>
      <c r="T52" s="10" t="n">
        <v>1</v>
      </c>
      <c r="U52" s="8" t="inlineStr">
        <is>
          <t>по аналогам (ГП2 1575)</t>
        </is>
      </c>
    </row>
    <row r="53">
      <c r="A53" s="8" t="inlineStr">
        <is>
          <t>41503a2c-628a-4fdf-83de-573758371c78</t>
        </is>
      </c>
      <c r="B53" s="8" t="inlineStr">
        <is>
          <t>доступна</t>
        </is>
      </c>
      <c r="C53" s="8" t="inlineStr">
        <is>
          <t>NEW</t>
        </is>
      </c>
      <c r="D53" s="8" t="inlineStr">
        <is>
          <t>СНВК</t>
        </is>
      </c>
      <c r="E53" s="9" t="n"/>
      <c r="F53" s="8" t="inlineStr">
        <is>
          <t>пуло</t>
        </is>
      </c>
      <c r="G53" s="9" t="n"/>
      <c r="H53" s="9" t="n">
        <v>2</v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10" t="n">
        <v>25000</v>
      </c>
      <c r="S53" s="8" t="inlineStr">
        <is>
          <t>княжество</t>
        </is>
      </c>
      <c r="T53" s="10" t="n">
        <v>3</v>
      </c>
      <c r="U53" s="8" t="inlineStr">
        <is>
          <t>по аналогам (княжество)</t>
        </is>
      </c>
    </row>
    <row r="54">
      <c r="A54" s="8" t="inlineStr">
        <is>
          <t>58458c6c-a7eb-4f54-a0f7-bb5faa835cde</t>
        </is>
      </c>
      <c r="B54" s="8" t="inlineStr">
        <is>
          <t>доступна</t>
        </is>
      </c>
      <c r="C54" s="9" t="n"/>
      <c r="D54" s="8" t="inlineStr">
        <is>
          <t>Микулин</t>
        </is>
      </c>
      <c r="E54" s="9" t="n"/>
      <c r="F54" s="8" t="inlineStr">
        <is>
          <t>денга</t>
        </is>
      </c>
      <c r="G54" s="9" t="n"/>
      <c r="H54" s="9" t="n">
        <v>2</v>
      </c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10" t="n">
        <v>35000</v>
      </c>
      <c r="S54" s="8" t="inlineStr">
        <is>
          <t>весь каталог</t>
        </is>
      </c>
      <c r="T54" s="10" t="n">
        <v>47</v>
      </c>
      <c r="U54" s="8" t="inlineStr">
        <is>
          <t>по аналогам (весь каталог)</t>
        </is>
      </c>
    </row>
    <row r="55">
      <c r="A55" s="8" t="inlineStr">
        <is>
          <t>fb5ea393-5e3f-44df-a801-a73814a4318f</t>
        </is>
      </c>
      <c r="B55" s="8" t="inlineStr">
        <is>
          <t>доступна</t>
        </is>
      </c>
      <c r="C55" s="8" t="inlineStr">
        <is>
          <t>1111</t>
        </is>
      </c>
      <c r="D55" s="8" t="inlineStr">
        <is>
          <t>Москва</t>
        </is>
      </c>
      <c r="E55" s="8" t="inlineStr">
        <is>
          <t>ДД</t>
        </is>
      </c>
      <c r="F55" s="8" t="inlineStr">
        <is>
          <t>денга</t>
        </is>
      </c>
      <c r="G55" s="9" t="n"/>
      <c r="H55" s="9" t="n">
        <v>4</v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10" t="n">
        <v>40000</v>
      </c>
      <c r="S55" s="8" t="inlineStr">
        <is>
          <t>ГП2 1111</t>
        </is>
      </c>
      <c r="T55" s="10" t="n">
        <v>1</v>
      </c>
      <c r="U55" s="8" t="inlineStr">
        <is>
          <t>по аналогам (ГП2 1111)</t>
        </is>
      </c>
    </row>
    <row r="56">
      <c r="A56" s="8" t="inlineStr">
        <is>
          <t>ee75e4bb-b407-49e7-9894-3d1616adca5b</t>
        </is>
      </c>
      <c r="B56" s="8" t="inlineStr">
        <is>
          <t>доступна</t>
        </is>
      </c>
      <c r="C56" s="8" t="inlineStr">
        <is>
          <t>1300</t>
        </is>
      </c>
      <c r="D56" s="8" t="inlineStr">
        <is>
          <t>Москва</t>
        </is>
      </c>
      <c r="E56" s="8" t="inlineStr">
        <is>
          <t>ВД</t>
        </is>
      </c>
      <c r="F56" s="8" t="inlineStr">
        <is>
          <t>денга</t>
        </is>
      </c>
      <c r="G56" s="9" t="n"/>
      <c r="H56" s="9" t="n">
        <v>1.5</v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10" t="n">
        <v>40000</v>
      </c>
      <c r="S56" s="8" t="inlineStr">
        <is>
          <t>княжество+князь</t>
        </is>
      </c>
      <c r="T56" s="10" t="n">
        <v>11</v>
      </c>
      <c r="U56" s="8" t="inlineStr">
        <is>
          <t>по аналогам (княжество+князь)</t>
        </is>
      </c>
    </row>
    <row r="57">
      <c r="A57" s="8" t="inlineStr">
        <is>
          <t>3f02a85f-a67a-43bb-b8dd-a91945785e52</t>
        </is>
      </c>
      <c r="B57" s="8" t="inlineStr">
        <is>
          <t>доступна</t>
        </is>
      </c>
      <c r="C57" s="8" t="inlineStr">
        <is>
          <t>7100A</t>
        </is>
      </c>
      <c r="D57" s="8" t="inlineStr">
        <is>
          <t>Тверь</t>
        </is>
      </c>
      <c r="E57" s="8" t="inlineStr">
        <is>
          <t>БА</t>
        </is>
      </c>
      <c r="F57" s="8" t="inlineStr">
        <is>
          <t>денга</t>
        </is>
      </c>
      <c r="G57" s="9" t="n"/>
      <c r="H57" s="9" t="n">
        <v>1</v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10" t="n">
        <v>20000</v>
      </c>
      <c r="S57" s="8" t="inlineStr">
        <is>
          <t>княжество+князь</t>
        </is>
      </c>
      <c r="T57" s="10" t="n">
        <v>3</v>
      </c>
      <c r="U57" s="8" t="inlineStr">
        <is>
          <t>по аналогам (княжество+князь)</t>
        </is>
      </c>
    </row>
    <row r="58">
      <c r="A58" s="8" t="inlineStr">
        <is>
          <t>7e44b6a7-3807-492c-9e26-25b3c0d41837</t>
        </is>
      </c>
      <c r="B58" s="8" t="inlineStr">
        <is>
          <t>доступна</t>
        </is>
      </c>
      <c r="C58" s="8" t="inlineStr">
        <is>
          <t>7262А</t>
        </is>
      </c>
      <c r="D58" s="8" t="inlineStr">
        <is>
          <t>Тверь</t>
        </is>
      </c>
      <c r="E58" s="8" t="inlineStr">
        <is>
          <t>МБ</t>
        </is>
      </c>
      <c r="F58" s="8" t="inlineStr">
        <is>
          <t>денга</t>
        </is>
      </c>
      <c r="G58" s="9" t="n"/>
      <c r="H58" s="9" t="n">
        <v>2</v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0" t="n">
        <v>52000</v>
      </c>
      <c r="S58" s="8" t="inlineStr">
        <is>
          <t>княжество+князь</t>
        </is>
      </c>
      <c r="T58" s="10" t="n">
        <v>3</v>
      </c>
      <c r="U58" s="8" t="inlineStr">
        <is>
          <t>по аналогам (княжество+князь)</t>
        </is>
      </c>
    </row>
    <row r="59">
      <c r="A59" s="8" t="inlineStr">
        <is>
          <t>4a5c2759-3397-4ce5-84c1-2f89f1503649</t>
        </is>
      </c>
      <c r="B59" s="8" t="inlineStr">
        <is>
          <t>доступна</t>
        </is>
      </c>
      <c r="C59" s="8" t="inlineStr">
        <is>
          <t>3635D</t>
        </is>
      </c>
      <c r="D59" s="8" t="inlineStr">
        <is>
          <t>Можайск</t>
        </is>
      </c>
      <c r="E59" s="8" t="inlineStr">
        <is>
          <t>АД</t>
        </is>
      </c>
      <c r="F59" s="8" t="inlineStr">
        <is>
          <t>полуденга</t>
        </is>
      </c>
      <c r="G59" s="9" t="n"/>
      <c r="H59" s="9" t="n">
        <v>1</v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10" t="n">
        <v>20000</v>
      </c>
      <c r="S59" s="8" t="inlineStr">
        <is>
          <t>ГП2 3635D</t>
        </is>
      </c>
      <c r="T59" s="10" t="n">
        <v>1</v>
      </c>
      <c r="U59" s="8" t="inlineStr">
        <is>
          <t>по аналогам (ГП2 3635D)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6" customWidth="1" min="3" max="3"/>
    <col width="15" customWidth="1" min="4" max="4"/>
    <col width="46" customWidth="1" min="5" max="5"/>
    <col width="46" customWidth="1" min="6" max="6"/>
  </cols>
  <sheetData>
    <row r="1">
      <c r="A1" s="6" t="inlineStr">
        <is>
          <t>Аудит данных — 30 проверок (OK / WARN / FAIL)</t>
        </is>
      </c>
    </row>
    <row r="2">
      <c r="A2" s="7" t="inlineStr">
        <is>
          <t>код</t>
        </is>
      </c>
      <c r="B2" s="7" t="inlineStr">
        <is>
          <t>уровень</t>
        </is>
      </c>
      <c r="C2" s="7" t="inlineStr">
        <is>
          <t>проверка</t>
        </is>
      </c>
      <c r="D2" s="7" t="inlineStr">
        <is>
          <t>охвата_строк</t>
        </is>
      </c>
      <c r="E2" s="7" t="inlineStr">
        <is>
          <t>значение</t>
        </is>
      </c>
      <c r="F2" s="7" t="inlineStr">
        <is>
          <t>комментарий</t>
        </is>
      </c>
    </row>
    <row r="3">
      <c r="A3" s="8" t="inlineStr">
        <is>
          <t>STR-01</t>
        </is>
      </c>
      <c r="B3" s="8" t="inlineStr">
        <is>
          <t>OK</t>
        </is>
      </c>
      <c r="C3" s="8" t="inlineStr">
        <is>
          <t>Фиксированный набор столбцов таблицы сделок</t>
        </is>
      </c>
      <c r="D3" s="9" t="n">
        <v>57</v>
      </c>
      <c r="E3" s="8" t="inlineStr">
        <is>
          <t>26 колонок — по спецификации</t>
        </is>
      </c>
      <c r="F3" s="8" t="inlineStr"/>
    </row>
    <row r="4">
      <c r="A4" s="8" t="inlineStr">
        <is>
          <t>STR-02</t>
        </is>
      </c>
      <c r="B4" s="8" t="inlineStr">
        <is>
          <t>OK</t>
        </is>
      </c>
      <c r="C4" s="8" t="inlineStr">
        <is>
          <t>Фиксированный набор столбцов справочника клиентов</t>
        </is>
      </c>
      <c r="D4" s="9" t="n">
        <v>5</v>
      </c>
      <c r="E4" s="8" t="inlineStr">
        <is>
          <t>2 колонок — по спецификации</t>
        </is>
      </c>
      <c r="F4" s="8" t="inlineStr"/>
    </row>
    <row r="5">
      <c r="A5" s="8" t="inlineStr">
        <is>
          <t>ID-01</t>
        </is>
      </c>
      <c r="B5" s="8" t="inlineStr">
        <is>
          <t>OK</t>
        </is>
      </c>
      <c r="C5" s="8" t="inlineStr">
        <is>
          <t>ID монеты в формате UUID</t>
        </is>
      </c>
      <c r="D5" s="9" t="n">
        <v>57</v>
      </c>
      <c r="E5" s="8" t="inlineStr">
        <is>
          <t>0/57 (0%)</t>
        </is>
      </c>
      <c r="F5" s="8" t="inlineStr"/>
    </row>
    <row r="6">
      <c r="A6" s="8" t="inlineStr">
        <is>
          <t>ID-02</t>
        </is>
      </c>
      <c r="B6" s="8" t="inlineStr">
        <is>
          <t>OK</t>
        </is>
      </c>
      <c r="C6" s="8" t="inlineStr">
        <is>
          <t>Уникальность ID монеты</t>
        </is>
      </c>
      <c r="D6" s="9" t="n">
        <v>57</v>
      </c>
      <c r="E6" s="8" t="inlineStr">
        <is>
          <t>0/57 (0%)</t>
        </is>
      </c>
      <c r="F6" s="8" t="inlineStr"/>
    </row>
    <row r="7">
      <c r="A7" s="8" t="inlineStr">
        <is>
          <t>ID-03</t>
        </is>
      </c>
      <c r="B7" s="8" t="inlineStr">
        <is>
          <t>OK</t>
        </is>
      </c>
      <c r="C7" s="8" t="inlineStr">
        <is>
          <t>ID клиента — UUID и присутствует в справочнике</t>
        </is>
      </c>
      <c r="D7" s="9" t="n">
        <v>57</v>
      </c>
      <c r="E7" s="8" t="inlineStr">
        <is>
          <t>0/57 (0%)</t>
        </is>
      </c>
      <c r="F7" s="8" t="inlineStr"/>
    </row>
    <row r="8">
      <c r="A8" s="8" t="inlineStr">
        <is>
          <t>ID-04</t>
        </is>
      </c>
      <c r="B8" s="8" t="inlineStr">
        <is>
          <t>OK</t>
        </is>
      </c>
      <c r="C8" s="8" t="inlineStr">
        <is>
          <t>Справочник клиентов актуален (все клиенты имеют сделки)</t>
        </is>
      </c>
      <c r="D8" s="9" t="n">
        <v>5</v>
      </c>
      <c r="E8" s="8" t="inlineStr">
        <is>
          <t>без сделок: 0</t>
        </is>
      </c>
      <c r="F8" s="8" t="inlineStr"/>
    </row>
    <row r="9">
      <c r="A9" s="8" t="inlineStr">
        <is>
          <t>ST-01</t>
        </is>
      </c>
      <c r="B9" s="8" t="inlineStr">
        <is>
          <t>OK</t>
        </is>
      </c>
      <c r="C9" s="8" t="inlineStr">
        <is>
          <t>Значения СТАТУС из справочника (продана/доступна/резерв)</t>
        </is>
      </c>
      <c r="D9" s="9" t="n">
        <v>57</v>
      </c>
      <c r="E9" s="8" t="inlineStr">
        <is>
          <t>0/57 (0%)</t>
        </is>
      </c>
      <c r="F9" s="8" t="inlineStr"/>
    </row>
    <row r="10">
      <c r="A10" s="8" t="inlineStr">
        <is>
          <t>ST-02</t>
        </is>
      </c>
      <c r="B10" s="8" t="inlineStr">
        <is>
          <t>OK</t>
        </is>
      </c>
      <c r="C10" s="8" t="inlineStr">
        <is>
          <t>Обновляемость: статус ↔ реквизиты сделки</t>
        </is>
      </c>
      <c r="D10" s="9" t="n">
        <v>57</v>
      </c>
      <c r="E10" s="8" t="inlineStr">
        <is>
          <t>«продана» без сделки: 0; «доступна» с реквизитами: 0</t>
        </is>
      </c>
      <c r="F10" s="8" t="inlineStr"/>
    </row>
    <row r="11">
      <c r="A11" s="8" t="inlineStr">
        <is>
          <t>REQ-01</t>
        </is>
      </c>
      <c r="B11" s="8" t="inlineStr">
        <is>
          <t>OK</t>
        </is>
      </c>
      <c r="C11" s="8" t="inlineStr">
        <is>
          <t>Обязательное поле заполнено: ID монеты</t>
        </is>
      </c>
      <c r="D11" s="9" t="n">
        <v>57</v>
      </c>
      <c r="E11" s="8" t="inlineStr">
        <is>
          <t>0/57 (0%)</t>
        </is>
      </c>
      <c r="F11" s="8" t="inlineStr"/>
    </row>
    <row r="12">
      <c r="A12" s="8" t="inlineStr">
        <is>
          <t>REQ-02</t>
        </is>
      </c>
      <c r="B12" s="8" t="inlineStr">
        <is>
          <t>OK</t>
        </is>
      </c>
      <c r="C12" s="8" t="inlineStr">
        <is>
          <t>Обязательное поле заполнено: СТАТУС</t>
        </is>
      </c>
      <c r="D12" s="9" t="n">
        <v>57</v>
      </c>
      <c r="E12" s="8" t="inlineStr">
        <is>
          <t>0/57 (0%)</t>
        </is>
      </c>
      <c r="F12" s="8" t="inlineStr"/>
    </row>
    <row r="13">
      <c r="A13" s="8" t="inlineStr">
        <is>
          <t>REQ-03</t>
        </is>
      </c>
      <c r="B13" s="8" t="inlineStr">
        <is>
          <t>OK</t>
        </is>
      </c>
      <c r="C13" s="8" t="inlineStr">
        <is>
          <t>Обязательное поле заполнено: Княжество</t>
        </is>
      </c>
      <c r="D13" s="9" t="n">
        <v>57</v>
      </c>
      <c r="E13" s="8" t="inlineStr">
        <is>
          <t>0/57 (0%)</t>
        </is>
      </c>
      <c r="F13" s="8" t="inlineStr"/>
    </row>
    <row r="14">
      <c r="A14" s="8" t="inlineStr">
        <is>
          <t>REQS-01</t>
        </is>
      </c>
      <c r="B14" s="8" t="inlineStr">
        <is>
          <t>FAIL</t>
        </is>
      </c>
      <c r="C14" s="8" t="inlineStr">
        <is>
          <t>Обязательное поле в сделке: ДАТА ПОКУПКИ</t>
        </is>
      </c>
      <c r="D14" s="9" t="n">
        <v>47</v>
      </c>
      <c r="E14" s="8" t="inlineStr">
        <is>
          <t>47/47 (100%)</t>
        </is>
      </c>
      <c r="F14" s="8" t="inlineStr">
        <is>
          <t>У 47 проданных монет не заполнено «ДАТА ПОКУПКИ» — расчёт KPI по этому полю невозможен.</t>
        </is>
      </c>
    </row>
    <row r="15">
      <c r="A15" s="8" t="inlineStr">
        <is>
          <t>REQS-02</t>
        </is>
      </c>
      <c r="B15" s="8" t="inlineStr">
        <is>
          <t>OK</t>
        </is>
      </c>
      <c r="C15" s="8" t="inlineStr">
        <is>
          <t>Обязательное поле в сделке: ДАТА ПРОДАЖИ</t>
        </is>
      </c>
      <c r="D15" s="9" t="n">
        <v>47</v>
      </c>
      <c r="E15" s="8" t="inlineStr">
        <is>
          <t>0/47 (0%)</t>
        </is>
      </c>
      <c r="F15" s="8" t="inlineStr"/>
    </row>
    <row r="16">
      <c r="A16" s="8" t="inlineStr">
        <is>
          <t>REQS-03</t>
        </is>
      </c>
      <c r="B16" s="8" t="inlineStr">
        <is>
          <t>OK</t>
        </is>
      </c>
      <c r="C16" s="8" t="inlineStr">
        <is>
          <t>Обязательное поле в сделке: продажа</t>
        </is>
      </c>
      <c r="D16" s="9" t="n">
        <v>47</v>
      </c>
      <c r="E16" s="8" t="inlineStr">
        <is>
          <t>0/47 (0%)</t>
        </is>
      </c>
      <c r="F16" s="8" t="inlineStr"/>
    </row>
    <row r="17">
      <c r="A17" s="8" t="inlineStr">
        <is>
          <t>REQS-04</t>
        </is>
      </c>
      <c r="B17" s="8" t="inlineStr">
        <is>
          <t>OK</t>
        </is>
      </c>
      <c r="C17" s="8" t="inlineStr">
        <is>
          <t>Обязательное поле в сделке: вход</t>
        </is>
      </c>
      <c r="D17" s="9" t="n">
        <v>47</v>
      </c>
      <c r="E17" s="8" t="inlineStr">
        <is>
          <t>0/47 (0%)</t>
        </is>
      </c>
      <c r="F17" s="8" t="inlineStr"/>
    </row>
    <row r="18">
      <c r="A18" s="8" t="inlineStr">
        <is>
          <t>REQS-05</t>
        </is>
      </c>
      <c r="B18" s="8" t="inlineStr">
        <is>
          <t>OK</t>
        </is>
      </c>
      <c r="C18" s="8" t="inlineStr">
        <is>
          <t>Обязательное поле в сделке: маржа</t>
        </is>
      </c>
      <c r="D18" s="9" t="n">
        <v>47</v>
      </c>
      <c r="E18" s="8" t="inlineStr">
        <is>
          <t>0/47 (0%)</t>
        </is>
      </c>
      <c r="F18" s="8" t="inlineStr"/>
    </row>
    <row r="19">
      <c r="A19" s="8" t="inlineStr">
        <is>
          <t>REQS-06</t>
        </is>
      </c>
      <c r="B19" s="8" t="inlineStr">
        <is>
          <t>OK</t>
        </is>
      </c>
      <c r="C19" s="8" t="inlineStr">
        <is>
          <t>Обязательное поле в сделке: %</t>
        </is>
      </c>
      <c r="D19" s="9" t="n">
        <v>47</v>
      </c>
      <c r="E19" s="8" t="inlineStr">
        <is>
          <t>0/47 (0%)</t>
        </is>
      </c>
      <c r="F19" s="8" t="inlineStr"/>
    </row>
    <row r="20">
      <c r="A20" s="8" t="inlineStr">
        <is>
          <t>REQS-07</t>
        </is>
      </c>
      <c r="B20" s="8" t="inlineStr">
        <is>
          <t>OK</t>
        </is>
      </c>
      <c r="C20" s="8" t="inlineStr">
        <is>
          <t>Обязательное поле в сделке: ID клиента</t>
        </is>
      </c>
      <c r="D20" s="9" t="n">
        <v>47</v>
      </c>
      <c r="E20" s="8" t="inlineStr">
        <is>
          <t>0/47 (0%)</t>
        </is>
      </c>
      <c r="F20" s="8" t="inlineStr"/>
    </row>
    <row r="21">
      <c r="A21" s="8" t="inlineStr">
        <is>
          <t>REQA-01</t>
        </is>
      </c>
      <c r="B21" s="8" t="inlineStr">
        <is>
          <t>WARN</t>
        </is>
      </c>
      <c r="C21" s="8" t="inlineStr">
        <is>
          <t>Атрибуты доступных монет (кандидатов)</t>
        </is>
      </c>
      <c r="D21" s="9" t="n">
        <v>10</v>
      </c>
      <c r="E21" s="8" t="inlineStr">
        <is>
          <t>пустых ячеек: 14 из 60</t>
        </is>
      </c>
      <c r="F21" s="8" t="inlineStr">
        <is>
          <t>Не заполнено: ГП2: 1, Князь: 3, описание: 10. Цена и мотив восстанавливаются по аналогам (см. колонки цена_источник / атрибут_источник).</t>
        </is>
      </c>
    </row>
    <row r="22">
      <c r="A22" s="8" t="inlineStr">
        <is>
          <t>FMT-01</t>
        </is>
      </c>
      <c r="B22" s="8" t="inlineStr">
        <is>
          <t>WARN</t>
        </is>
      </c>
      <c r="C22" s="8" t="inlineStr">
        <is>
          <t>Дата закупки ≤ даты продажи (формат д.м.г)</t>
        </is>
      </c>
      <c r="D22" s="9" t="n">
        <v>0</v>
      </c>
      <c r="E22" s="8" t="inlineStr">
        <is>
          <t>0/0 пар дат</t>
        </is>
      </c>
      <c r="F22" s="8" t="inlineStr">
        <is>
          <t>Ни одна дата закупки не заполнена — проверить согласованность дат и рассчитать KPI «закупка → продажа» (п. 1 ТЗ, показатель Y) невозможно. Требование нарушено, см. проверку REQS-ДАТА ПОКУПКИ.</t>
        </is>
      </c>
    </row>
    <row r="23">
      <c r="A23" s="8" t="inlineStr">
        <is>
          <t>FMT-02</t>
        </is>
      </c>
      <c r="B23" s="8" t="inlineStr">
        <is>
          <t>OK</t>
        </is>
      </c>
      <c r="C23" s="8" t="inlineStr">
        <is>
          <t>Дата продажи не в будущем</t>
        </is>
      </c>
      <c r="D23" s="9" t="n">
        <v>57</v>
      </c>
      <c r="E23" s="8" t="inlineStr">
        <is>
          <t>0/57 (0%)</t>
        </is>
      </c>
      <c r="F23" s="8" t="inlineStr"/>
    </row>
    <row r="24">
      <c r="A24" s="8" t="inlineStr">
        <is>
          <t>FMT-03</t>
        </is>
      </c>
      <c r="B24" s="8" t="inlineStr">
        <is>
          <t>OK</t>
        </is>
      </c>
      <c r="C24" s="8" t="inlineStr">
        <is>
          <t>Цены положительные</t>
        </is>
      </c>
      <c r="D24" s="9" t="n">
        <v>57</v>
      </c>
      <c r="E24" s="8" t="inlineStr">
        <is>
          <t>0/57 (0%)</t>
        </is>
      </c>
      <c r="F24" s="8" t="inlineStr"/>
    </row>
    <row r="25">
      <c r="A25" s="8" t="inlineStr">
        <is>
          <t>CALC-01</t>
        </is>
      </c>
      <c r="B25" s="8" t="inlineStr">
        <is>
          <t>OK</t>
        </is>
      </c>
      <c r="C25" s="8" t="inlineStr">
        <is>
          <t>Проверка расчёта: маржа = продажа − вход</t>
        </is>
      </c>
      <c r="D25" s="9" t="n">
        <v>47</v>
      </c>
      <c r="E25" s="8" t="inlineStr">
        <is>
          <t>0/47 (0%)</t>
        </is>
      </c>
      <c r="F25" s="8" t="inlineStr"/>
    </row>
    <row r="26">
      <c r="A26" s="8" t="inlineStr">
        <is>
          <t>CALC-02</t>
        </is>
      </c>
      <c r="B26" s="8" t="inlineStr">
        <is>
          <t>OK</t>
        </is>
      </c>
      <c r="C26" s="8" t="inlineStr">
        <is>
          <t>Проверка расчёта: % = маржа / вход</t>
        </is>
      </c>
      <c r="D26" s="9" t="n">
        <v>47</v>
      </c>
      <c r="E26" s="8" t="inlineStr">
        <is>
          <t>0/47 (0%)</t>
        </is>
      </c>
      <c r="F26" s="8" t="inlineStr"/>
    </row>
    <row r="27">
      <c r="A27" s="8" t="inlineStr">
        <is>
          <t>DICT-01</t>
        </is>
      </c>
      <c r="B27" s="8" t="inlineStr">
        <is>
          <t>OK</t>
        </is>
      </c>
      <c r="C27" s="8" t="inlineStr">
        <is>
          <t>Редкость R в диапазоне 1–7</t>
        </is>
      </c>
      <c r="D27" s="9" t="n">
        <v>57</v>
      </c>
      <c r="E27" s="8" t="inlineStr">
        <is>
          <t>0/57 (0%)</t>
        </is>
      </c>
      <c r="F27" s="8" t="inlineStr"/>
    </row>
    <row r="28">
      <c r="A28" s="8" t="inlineStr">
        <is>
          <t>DICT-02</t>
        </is>
      </c>
      <c r="B28" s="8" t="inlineStr">
        <is>
          <t>OK</t>
        </is>
      </c>
      <c r="C28" s="8" t="inlineStr">
        <is>
          <t>Номинал из справочника (денга/полуденга/пуло)</t>
        </is>
      </c>
      <c r="D28" s="9" t="n">
        <v>57</v>
      </c>
      <c r="E28" s="8" t="inlineStr">
        <is>
          <t>0/57 (0%)</t>
        </is>
      </c>
      <c r="F28" s="8" t="inlineStr"/>
    </row>
    <row r="29">
      <c r="A29" s="8" t="inlineStr">
        <is>
          <t>DICT-03</t>
        </is>
      </c>
      <c r="B29" s="8" t="inlineStr">
        <is>
          <t>WARN</t>
        </is>
      </c>
      <c r="C29" s="8" t="inlineStr">
        <is>
          <t>Дубли номеров ГП2 (разные ID монет)</t>
        </is>
      </c>
      <c r="D29" s="9" t="n">
        <v>57</v>
      </c>
      <c r="E29" s="8" t="inlineStr">
        <is>
          <t>8/57 (14%)</t>
        </is>
      </c>
      <c r="F29" s="8" t="inlineStr">
        <is>
          <t>Проверьте, не одна ли это монета под двумя ID.</t>
        </is>
      </c>
    </row>
    <row r="30">
      <c r="A30" s="8" t="inlineStr">
        <is>
          <t>ACT-01</t>
        </is>
      </c>
      <c r="B30" s="8" t="inlineStr">
        <is>
          <t>OK</t>
        </is>
      </c>
      <c r="C30" s="8" t="inlineStr">
        <is>
          <t>Актуальность: последняя дата продажи</t>
        </is>
      </c>
      <c r="D30" s="9" t="n">
        <v>57</v>
      </c>
      <c r="E30" s="8" t="inlineStr">
        <is>
          <t>29.09.2026</t>
        </is>
      </c>
      <c r="F30" s="8" t="inlineStr"/>
    </row>
    <row r="31">
      <c r="A31" s="8" t="inlineStr">
        <is>
          <t>ACT-02</t>
        </is>
      </c>
      <c r="B31" s="8" t="inlineStr">
        <is>
          <t>OK</t>
        </is>
      </c>
      <c r="C31" s="8" t="inlineStr">
        <is>
          <t>Каталог доступных монет непуст</t>
        </is>
      </c>
      <c r="D31" s="9" t="n">
        <v>10</v>
      </c>
      <c r="E31" s="8" t="inlineStr">
        <is>
          <t>10 доступно, 47 продано, 57 всего</t>
        </is>
      </c>
      <c r="F31" s="8" t="inlineStr"/>
    </row>
    <row r="32">
      <c r="A32" s="8" t="inlineStr">
        <is>
          <t>ACT-03</t>
        </is>
      </c>
      <c r="B32" s="8" t="inlineStr">
        <is>
          <t>OK</t>
        </is>
      </c>
      <c r="C32" s="8" t="inlineStr">
        <is>
          <t>У всех кандидатов есть цена (факт или оценка)</t>
        </is>
      </c>
      <c r="D32" s="9" t="n">
        <v>10</v>
      </c>
      <c r="E32" s="8" t="inlineStr">
        <is>
          <t>0/10 (0%)</t>
        </is>
      </c>
      <c r="F32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8" customWidth="1" min="11" max="11"/>
    <col width="41" customWidth="1" min="12" max="12"/>
  </cols>
  <sheetData>
    <row r="1">
      <c r="A1" s="6" t="inlineStr">
        <is>
          <t>Качество рекомендаций на исторических данных</t>
        </is>
      </c>
    </row>
    <row r="2">
      <c r="A2" s="7" t="inlineStr">
        <is>
          <t>оценено сделок</t>
        </is>
      </c>
      <c r="B2" s="7" t="inlineStr">
        <is>
          <t>HR@1</t>
        </is>
      </c>
      <c r="C2" s="7" t="inlineStr">
        <is>
          <t>NDCG@1</t>
        </is>
      </c>
      <c r="D2" s="7" t="inlineStr">
        <is>
          <t>HR@3</t>
        </is>
      </c>
      <c r="E2" s="7" t="inlineStr">
        <is>
          <t>NDCG@3</t>
        </is>
      </c>
      <c r="F2" s="7" t="inlineStr">
        <is>
          <t>HR@5</t>
        </is>
      </c>
      <c r="G2" s="7" t="inlineStr">
        <is>
          <t>NDCG@5</t>
        </is>
      </c>
      <c r="H2" s="7" t="inlineStr">
        <is>
          <t>HR@10</t>
        </is>
      </c>
      <c r="I2" s="7" t="inlineStr">
        <is>
          <t>NDCG@10</t>
        </is>
      </c>
      <c r="J2" s="7" t="inlineStr">
        <is>
          <t>MRR</t>
        </is>
      </c>
      <c r="K2" s="7" t="inlineStr">
        <is>
          <t>покрытие (прошла фильтры)</t>
        </is>
      </c>
      <c r="L2" s="7" t="inlineStr">
        <is>
          <t>метод</t>
        </is>
      </c>
    </row>
    <row r="3">
      <c r="A3" s="9" t="n">
        <v>42</v>
      </c>
      <c r="B3" s="11" t="n">
        <v>0.07142857142857142</v>
      </c>
      <c r="C3" s="11" t="n">
        <v>0.07142857142857142</v>
      </c>
      <c r="D3" s="11" t="n">
        <v>0.1666666666666667</v>
      </c>
      <c r="E3" s="11" t="n">
        <v>0.1221649941326538</v>
      </c>
      <c r="F3" s="11" t="n">
        <v>0.2619047619047619</v>
      </c>
      <c r="G3" s="11" t="n">
        <v>0.1610949639092221</v>
      </c>
      <c r="H3" s="11" t="n">
        <v>0.3571428571428572</v>
      </c>
      <c r="I3" s="11" t="n">
        <v>0.1902487294087264</v>
      </c>
      <c r="J3" s="11" t="n">
        <v>0.1584817485146432</v>
      </c>
      <c r="K3" s="13" t="n">
        <v>0.7380952380952381</v>
      </c>
      <c r="L3" s="8" t="inlineStr">
        <is>
          <t>Модель (3 критерия, строгие фильтры)</t>
        </is>
      </c>
    </row>
    <row r="4">
      <c r="A4" s="9" t="n">
        <v>42</v>
      </c>
      <c r="B4" s="11" t="n">
        <v>0.07142857142857142</v>
      </c>
      <c r="C4" s="11" t="n">
        <v>0.07142857142857142</v>
      </c>
      <c r="D4" s="11" t="n">
        <v>0.1904761904761905</v>
      </c>
      <c r="E4" s="11" t="n">
        <v>0.1340697560374157</v>
      </c>
      <c r="F4" s="11" t="n">
        <v>0.3333333333333333</v>
      </c>
      <c r="G4" s="11" t="n">
        <v>0.1924647107022681</v>
      </c>
      <c r="H4" s="11" t="n">
        <v>0.4761904761904762</v>
      </c>
      <c r="I4" s="11" t="n">
        <v>0.2380361076408524</v>
      </c>
      <c r="J4" s="11" t="n">
        <v>0.1917874722965575</v>
      </c>
      <c r="K4" s="13" t="n">
        <v>1</v>
      </c>
      <c r="L4" s="8" t="inlineStr">
        <is>
          <t>Модель (скоринг без фильтров)</t>
        </is>
      </c>
    </row>
    <row r="5">
      <c r="A5" s="9" t="n">
        <v>42</v>
      </c>
      <c r="B5" s="11" t="n">
        <v>0.04761904761904762</v>
      </c>
      <c r="C5" s="11" t="n">
        <v>0.04761904761904762</v>
      </c>
      <c r="D5" s="11" t="n">
        <v>0.1428571428571428</v>
      </c>
      <c r="E5" s="11" t="n">
        <v>0.1045902204931993</v>
      </c>
      <c r="F5" s="11" t="n">
        <v>0.2619047619047619</v>
      </c>
      <c r="G5" s="11" t="n">
        <v>0.1548178166724402</v>
      </c>
      <c r="H5" s="11" t="n">
        <v>0.4523809523809524</v>
      </c>
      <c r="I5" s="11" t="n">
        <v>0.2145818500503262</v>
      </c>
      <c r="J5" s="11" t="n">
        <v>0.1721546431906851</v>
      </c>
      <c r="K5" s="13" t="n">
        <v>1</v>
      </c>
      <c r="L5" s="8" t="inlineStr">
        <is>
          <t>Бейслайн: популярность категории</t>
        </is>
      </c>
    </row>
    <row r="6">
      <c r="A6" s="9" t="n">
        <v>42</v>
      </c>
      <c r="B6" s="11" t="n">
        <v>0.04761904761904762</v>
      </c>
      <c r="C6" s="11" t="n">
        <v>0.04761904761904762</v>
      </c>
      <c r="D6" s="11" t="n">
        <v>0.1428571428571428</v>
      </c>
      <c r="E6" s="11" t="n">
        <v>0.1014728454081647</v>
      </c>
      <c r="F6" s="11" t="n">
        <v>0.2619047619047619</v>
      </c>
      <c r="G6" s="11" t="n">
        <v>0.1517004415874054</v>
      </c>
      <c r="H6" s="11" t="n">
        <v>0.3333333333333333</v>
      </c>
      <c r="I6" s="11" t="n">
        <v>0.1729176991504019</v>
      </c>
      <c r="J6" s="11" t="n">
        <v>0.1474393287007463</v>
      </c>
      <c r="K6" s="13" t="n">
        <v>0.7380952380952381</v>
      </c>
      <c r="L6" s="8" t="inlineStr">
        <is>
          <t>Бейслайн: популярность (те же фильтры)</t>
        </is>
      </c>
    </row>
    <row r="7">
      <c r="A7" s="9" t="n">
        <v>42</v>
      </c>
      <c r="B7" s="11" t="n">
        <v>0.0374900852318943</v>
      </c>
      <c r="C7" s="11" t="n">
        <v>0.0374900852318943</v>
      </c>
      <c r="D7" s="11" t="n">
        <v>0.1124702556956829</v>
      </c>
      <c r="E7" s="11" t="n">
        <v>0.07988873808457347</v>
      </c>
      <c r="F7" s="11" t="n">
        <v>0.1874504261594715</v>
      </c>
      <c r="G7" s="11" t="n">
        <v>0.1105379836695444</v>
      </c>
      <c r="H7" s="11" t="n">
        <v>0.374900852318943</v>
      </c>
      <c r="I7" s="11" t="n">
        <v>0.1703384268411014</v>
      </c>
      <c r="J7" s="11" t="n">
        <v>0.1411692374070656</v>
      </c>
      <c r="K7" s="13" t="n">
        <v>1</v>
      </c>
      <c r="L7" s="8" t="inlineStr">
        <is>
          <t>Бейслайн: наугад</t>
        </is>
      </c>
    </row>
    <row r="8">
      <c r="A8" s="9" t="n">
        <v>42</v>
      </c>
      <c r="B8" s="11" t="n">
        <v>0.04116023103577165</v>
      </c>
      <c r="C8" s="11" t="n">
        <v>0.04116023103577165</v>
      </c>
      <c r="D8" s="11" t="n">
        <v>0.1234806931073149</v>
      </c>
      <c r="E8" s="11" t="n">
        <v>0.08770956097800113</v>
      </c>
      <c r="F8" s="11" t="n">
        <v>0.1998487742264773</v>
      </c>
      <c r="G8" s="11" t="n">
        <v>0.1190565632514455</v>
      </c>
      <c r="H8" s="11" t="n">
        <v>0.3732425219979281</v>
      </c>
      <c r="I8" s="11" t="n">
        <v>0.1744518908745922</v>
      </c>
      <c r="J8" s="11" t="n">
        <v>0.1353145735972854</v>
      </c>
      <c r="K8" s="13" t="n">
        <v>0.7380952380952381</v>
      </c>
      <c r="L8" s="8" t="inlineStr">
        <is>
          <t>Бейслайн: наугад (те же фильтры)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6" t="inlineStr">
        <is>
          <t>Анализ чувствительности бюджетного коридора (этап 4 ТЗ)</t>
        </is>
      </c>
    </row>
    <row r="2">
      <c r="A2" s="7" t="inlineStr">
        <is>
          <t>BUDGET_IQR_K</t>
        </is>
      </c>
      <c r="B2" s="7" t="inlineStr">
        <is>
          <t>мин. полуширина коридора</t>
        </is>
      </c>
      <c r="C2" s="7" t="inlineStr">
        <is>
          <t>покрытие</t>
        </is>
      </c>
      <c r="D2" s="7" t="inlineStr">
        <is>
          <t>HR@3</t>
        </is>
      </c>
      <c r="E2" s="7" t="inlineStr">
        <is>
          <t>HR@5</t>
        </is>
      </c>
      <c r="F2" s="7" t="inlineStr">
        <is>
          <t>HR@10</t>
        </is>
      </c>
      <c r="G2" s="7" t="inlineStr">
        <is>
          <t>MRR</t>
        </is>
      </c>
      <c r="H2" s="7" t="inlineStr">
        <is>
          <t>выбрано</t>
        </is>
      </c>
    </row>
    <row r="3">
      <c r="A3" s="9" t="n">
        <v>0.5</v>
      </c>
      <c r="B3" s="9" t="n">
        <v>0.3</v>
      </c>
      <c r="C3" s="13" t="n">
        <v>0.619</v>
      </c>
      <c r="D3" s="11" t="n">
        <v>0.1667</v>
      </c>
      <c r="E3" s="11" t="n">
        <v>0.2381</v>
      </c>
      <c r="F3" s="11" t="n">
        <v>0.381</v>
      </c>
      <c r="G3" s="11" t="n">
        <v>0.1638</v>
      </c>
      <c r="H3" s="9" t="b">
        <v>0</v>
      </c>
    </row>
    <row r="4">
      <c r="A4" s="9" t="n">
        <v>0.5</v>
      </c>
      <c r="B4" s="9" t="n">
        <v>0.5</v>
      </c>
      <c r="C4" s="13" t="n">
        <v>0.6667</v>
      </c>
      <c r="D4" s="11" t="n">
        <v>0.1667</v>
      </c>
      <c r="E4" s="11" t="n">
        <v>0.2381</v>
      </c>
      <c r="F4" s="11" t="n">
        <v>0.381</v>
      </c>
      <c r="G4" s="11" t="n">
        <v>0.1544</v>
      </c>
      <c r="H4" s="9" t="b">
        <v>0</v>
      </c>
    </row>
    <row r="5">
      <c r="A5" s="9" t="n">
        <v>0.5</v>
      </c>
      <c r="B5" s="9" t="n">
        <v>0.7</v>
      </c>
      <c r="C5" s="13" t="n">
        <v>0.7619</v>
      </c>
      <c r="D5" s="11" t="n">
        <v>0.1667</v>
      </c>
      <c r="E5" s="11" t="n">
        <v>0.2619</v>
      </c>
      <c r="F5" s="11" t="n">
        <v>0.4524</v>
      </c>
      <c r="G5" s="11" t="n">
        <v>0.1656</v>
      </c>
      <c r="H5" s="9" t="b">
        <v>0</v>
      </c>
    </row>
    <row r="6">
      <c r="A6" s="9" t="n">
        <v>1</v>
      </c>
      <c r="B6" s="9" t="n">
        <v>0.3</v>
      </c>
      <c r="C6" s="13" t="n">
        <v>0.7143</v>
      </c>
      <c r="D6" s="11" t="n">
        <v>0.1667</v>
      </c>
      <c r="E6" s="11" t="n">
        <v>0.2619</v>
      </c>
      <c r="F6" s="11" t="n">
        <v>0.3571</v>
      </c>
      <c r="G6" s="11" t="n">
        <v>0.1567</v>
      </c>
      <c r="H6" s="9" t="b">
        <v>0</v>
      </c>
    </row>
    <row r="7">
      <c r="A7" s="9" t="n">
        <v>1</v>
      </c>
      <c r="B7" s="9" t="n">
        <v>0.5</v>
      </c>
      <c r="C7" s="13" t="n">
        <v>0.7381</v>
      </c>
      <c r="D7" s="11" t="n">
        <v>0.1667</v>
      </c>
      <c r="E7" s="11" t="n">
        <v>0.2619</v>
      </c>
      <c r="F7" s="11" t="n">
        <v>0.3571</v>
      </c>
      <c r="G7" s="11" t="n">
        <v>0.1585</v>
      </c>
      <c r="H7" s="9" t="b">
        <v>1</v>
      </c>
    </row>
    <row r="8">
      <c r="A8" s="9" t="n">
        <v>1</v>
      </c>
      <c r="B8" s="9" t="n">
        <v>0.7</v>
      </c>
      <c r="C8" s="13" t="n">
        <v>0.8095</v>
      </c>
      <c r="D8" s="11" t="n">
        <v>0.1667</v>
      </c>
      <c r="E8" s="11" t="n">
        <v>0.2857</v>
      </c>
      <c r="F8" s="11" t="n">
        <v>0.4286</v>
      </c>
      <c r="G8" s="11" t="n">
        <v>0.1689</v>
      </c>
      <c r="H8" s="9" t="b">
        <v>0</v>
      </c>
    </row>
    <row r="9">
      <c r="A9" s="9" t="n">
        <v>1.5</v>
      </c>
      <c r="B9" s="9" t="n">
        <v>0.3</v>
      </c>
      <c r="C9" s="13" t="n">
        <v>0.7381</v>
      </c>
      <c r="D9" s="11" t="n">
        <v>0.1667</v>
      </c>
      <c r="E9" s="11" t="n">
        <v>0.2619</v>
      </c>
      <c r="F9" s="11" t="n">
        <v>0.3571</v>
      </c>
      <c r="G9" s="11" t="n">
        <v>0.1609</v>
      </c>
      <c r="H9" s="9" t="b">
        <v>0</v>
      </c>
    </row>
    <row r="10">
      <c r="A10" s="9" t="n">
        <v>1.5</v>
      </c>
      <c r="B10" s="9" t="n">
        <v>0.5</v>
      </c>
      <c r="C10" s="13" t="n">
        <v>0.7619</v>
      </c>
      <c r="D10" s="11" t="n">
        <v>0.1667</v>
      </c>
      <c r="E10" s="11" t="n">
        <v>0.2619</v>
      </c>
      <c r="F10" s="11" t="n">
        <v>0.3571</v>
      </c>
      <c r="G10" s="11" t="n">
        <v>0.1626</v>
      </c>
      <c r="H10" s="9" t="b">
        <v>0</v>
      </c>
    </row>
    <row r="11">
      <c r="A11" s="9" t="n">
        <v>1.5</v>
      </c>
      <c r="B11" s="9" t="n">
        <v>0.7</v>
      </c>
      <c r="C11" s="13" t="n">
        <v>0.8333</v>
      </c>
      <c r="D11" s="11" t="n">
        <v>0.1667</v>
      </c>
      <c r="E11" s="11" t="n">
        <v>0.2857</v>
      </c>
      <c r="F11" s="11" t="n">
        <v>0.4286</v>
      </c>
      <c r="G11" s="11" t="n">
        <v>0.173</v>
      </c>
      <c r="H11" s="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4" t="inlineStr">
        <is>
          <t>КАК ОБНОВИТЬ ДАШБОРД</t>
        </is>
      </c>
    </row>
    <row r="2" ht="8" customHeight="1">
      <c r="A2" s="15" t="inlineStr"/>
    </row>
    <row r="3" ht="18" customHeight="1">
      <c r="A3" s="16" t="inlineStr">
        <is>
          <t>1. Откройте Google Таблицу и поправьте данные: статусы монет, сделки, клиентов.</t>
        </is>
      </c>
    </row>
    <row r="4" ht="8" customHeight="1">
      <c r="A4" s="17" t="inlineStr"/>
    </row>
    <row r="5" ht="18" customHeight="1">
      <c r="A5" s="16" t="inlineStr">
        <is>
          <t>2. Дважды кликните файл «Обновить_дашборд.bat» в папке проекта.</t>
        </is>
      </c>
    </row>
    <row r="6" ht="8" customHeight="1">
      <c r="A6" s="17" t="inlineStr"/>
    </row>
    <row r="7" ht="18" customHeight="1">
      <c r="A7" s="16" t="inlineStr">
        <is>
          <t>3. Откройте файл reports\Дашборд.xlsx — он пересобран по свежим данным.</t>
        </is>
      </c>
    </row>
    <row r="8" ht="8" customHeight="1">
      <c r="A8" s="17" t="inlineStr"/>
    </row>
    <row r="9" ht="18" customHeight="1">
      <c r="A9" s="18" t="inlineStr">
        <is>
          <t>ЧТО ГДЕ СМОТРЕТЬ</t>
        </is>
      </c>
    </row>
    <row r="10" ht="18" customHeight="1">
      <c r="A10" s="16" t="inlineStr">
        <is>
          <t xml:space="preserve">  • «Дашборд» — карточки показателей, топ-5 рекомендаций для каждого клиента, графики.</t>
        </is>
      </c>
    </row>
    <row r="11" ht="18" customHeight="1">
      <c r="A11" s="16" t="inlineStr">
        <is>
          <t xml:space="preserve">  • «Рекомендации» — полный список монет с обоснованием каждой.</t>
        </is>
      </c>
    </row>
    <row r="12" ht="18" customHeight="1">
      <c r="A12" s="16" t="inlineStr">
        <is>
          <t xml:space="preserve">  • «Профили клиентов» — кто что коллекционирует и какой бюджетный коридор.</t>
        </is>
      </c>
    </row>
    <row r="13" ht="18" customHeight="1">
      <c r="A13" s="16" t="inlineStr">
        <is>
          <t xml:space="preserve">  • «Каталог монет» — все монеты; у доступных указана оценка цены по аналогам.</t>
        </is>
      </c>
    </row>
    <row r="14" ht="18" customHeight="1">
      <c r="A14" s="16" t="inlineStr">
        <is>
          <t xml:space="preserve">  • «Качество данных» — 30 автоматических проверок; строки FAIL надо закрыть.</t>
        </is>
      </c>
    </row>
    <row r="15" ht="18" customHeight="1">
      <c r="A15" s="16" t="inlineStr">
        <is>
          <t xml:space="preserve">  • «Метрики» — насколько точно система угадывала реальные покупки на истории.</t>
        </is>
      </c>
    </row>
    <row r="16" ht="8" customHeight="1">
      <c r="A16" s="17" t="inlineStr"/>
    </row>
    <row r="17" ht="18" customHeight="1">
      <c r="A17" s="18" t="inlineStr">
        <is>
          <t>ЕСЛИ ЧТО-ТО НЕ ТАК</t>
        </is>
      </c>
    </row>
    <row r="18" ht="18" customHeight="1">
      <c r="A18" s="16" t="inlineStr">
        <is>
          <t xml:space="preserve">  • Написано «локальная копия» — нет интернета, взяли последнюю сохранённую выгрузку.</t>
        </is>
      </c>
    </row>
    <row r="19" ht="18" customHeight="1">
      <c r="A19" s="16" t="inlineStr">
        <is>
          <t xml:space="preserve">  • Красная плашка на дашборде — критичные ошибки данных, лист «Качество данных».</t>
        </is>
      </c>
    </row>
    <row r="20" ht="18" customHeight="1">
      <c r="A20" s="16" t="inlineStr">
        <is>
          <t xml:space="preserve">  • Не открылся файл — он открыт в другом окне Excel, закройте и повторите обновление.</t>
        </is>
      </c>
    </row>
    <row r="21" ht="8" customHeight="1">
      <c r="A21" s="17" t="inlineStr"/>
    </row>
    <row r="22" ht="18" customHeight="1">
      <c r="A22" s="19" t="inlineStr">
        <is>
          <t>Подробности расчёта: README.md, docs/Методика.md.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R8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Статус</t>
        </is>
      </c>
      <c r="C1" t="inlineStr">
        <is>
          <t>Монет</t>
        </is>
      </c>
      <c r="E1" t="inlineStr">
        <is>
          <t>Княжество</t>
        </is>
      </c>
      <c r="F1" t="inlineStr">
        <is>
          <t>Доступно</t>
        </is>
      </c>
      <c r="H1" t="inlineStr">
        <is>
          <t>Клиент</t>
        </is>
      </c>
      <c r="I1" t="inlineStr">
        <is>
          <t>Бюджет (медиана, ₽)</t>
        </is>
      </c>
      <c r="J1" t="inlineStr">
        <is>
          <t>Средняя цена рекомендаций, ₽</t>
        </is>
      </c>
      <c r="L1" t="inlineStr">
        <is>
          <t>Метрика</t>
        </is>
      </c>
      <c r="M1" t="inlineStr">
        <is>
          <t>Модель</t>
        </is>
      </c>
      <c r="N1" t="inlineStr">
        <is>
          <t>Популярность</t>
        </is>
      </c>
      <c r="O1" t="inlineStr">
        <is>
          <t>Наугад</t>
        </is>
      </c>
      <c r="Q1" t="inlineStr">
        <is>
          <t>Аудит</t>
        </is>
      </c>
      <c r="R1" t="inlineStr">
        <is>
          <t>Проверок</t>
        </is>
      </c>
    </row>
    <row r="2">
      <c r="B2" t="inlineStr">
        <is>
          <t>продана</t>
        </is>
      </c>
      <c r="C2" t="n">
        <v>47</v>
      </c>
      <c r="E2" t="inlineStr">
        <is>
          <t>Москва</t>
        </is>
      </c>
      <c r="F2" t="n">
        <v>3</v>
      </c>
      <c r="H2" t="inlineStr">
        <is>
          <t>Alexan</t>
        </is>
      </c>
      <c r="I2" t="n">
        <v>41000</v>
      </c>
      <c r="J2" t="n">
        <v>44400</v>
      </c>
      <c r="L2" t="inlineStr">
        <is>
          <t>HR@1</t>
        </is>
      </c>
      <c r="M2" t="n">
        <v>0.07099999999999999</v>
      </c>
      <c r="N2" t="n">
        <v>0.048</v>
      </c>
      <c r="O2" t="n">
        <v>0.041</v>
      </c>
      <c r="Q2" t="inlineStr">
        <is>
          <t>OK</t>
        </is>
      </c>
      <c r="R2" t="n">
        <v>26</v>
      </c>
    </row>
    <row r="3">
      <c r="B3" t="inlineStr">
        <is>
          <t>доступна</t>
        </is>
      </c>
      <c r="C3" t="n">
        <v>10</v>
      </c>
      <c r="E3" t="inlineStr">
        <is>
          <t>СНВК</t>
        </is>
      </c>
      <c r="F3" t="n">
        <v>2</v>
      </c>
      <c r="H3" t="inlineStr">
        <is>
          <t>Гогер</t>
        </is>
      </c>
      <c r="I3" t="n">
        <v>22500</v>
      </c>
      <c r="J3" t="n">
        <v>31000</v>
      </c>
      <c r="L3" t="inlineStr">
        <is>
          <t>HR@3</t>
        </is>
      </c>
      <c r="M3" t="n">
        <v>0.167</v>
      </c>
      <c r="N3" t="n">
        <v>0.143</v>
      </c>
      <c r="O3" t="n">
        <v>0.123</v>
      </c>
      <c r="Q3" t="inlineStr">
        <is>
          <t>WARN</t>
        </is>
      </c>
      <c r="R3" t="n">
        <v>3</v>
      </c>
    </row>
    <row r="4">
      <c r="E4" t="inlineStr">
        <is>
          <t>Тверь</t>
        </is>
      </c>
      <c r="F4" t="n">
        <v>2</v>
      </c>
      <c r="H4" t="inlineStr">
        <is>
          <t>Городен</t>
        </is>
      </c>
      <c r="I4" t="n">
        <v>52000</v>
      </c>
      <c r="J4" t="n">
        <v>44400</v>
      </c>
      <c r="L4" t="inlineStr">
        <is>
          <t>HR@5</t>
        </is>
      </c>
      <c r="M4" t="n">
        <v>0.262</v>
      </c>
      <c r="N4" t="n">
        <v>0.262</v>
      </c>
      <c r="O4" t="n">
        <v>0.2</v>
      </c>
      <c r="Q4" t="inlineStr">
        <is>
          <t>FAIL</t>
        </is>
      </c>
      <c r="R4" t="n">
        <v>1</v>
      </c>
    </row>
    <row r="5">
      <c r="E5" t="inlineStr">
        <is>
          <t>Серпухов</t>
        </is>
      </c>
      <c r="F5" t="n">
        <v>1</v>
      </c>
      <c r="H5" t="inlineStr">
        <is>
          <t>Лейбов</t>
        </is>
      </c>
      <c r="I5" t="n">
        <v>12500</v>
      </c>
      <c r="J5" t="n">
        <v>42000</v>
      </c>
      <c r="L5" t="inlineStr">
        <is>
          <t>HR@10</t>
        </is>
      </c>
      <c r="M5" t="n">
        <v>0.357</v>
      </c>
      <c r="N5" t="n">
        <v>0.333</v>
      </c>
      <c r="O5" t="n">
        <v>0.373</v>
      </c>
    </row>
    <row r="6">
      <c r="E6" t="inlineStr">
        <is>
          <t>Микулин</t>
        </is>
      </c>
      <c r="F6" t="n">
        <v>1</v>
      </c>
      <c r="H6" t="inlineStr">
        <is>
          <t>Шувалов</t>
        </is>
      </c>
      <c r="I6" t="n">
        <v>35000</v>
      </c>
      <c r="J6" t="n">
        <v>39400</v>
      </c>
    </row>
    <row r="7">
      <c r="E7" t="inlineStr">
        <is>
          <t>Можайск</t>
        </is>
      </c>
      <c r="F7" t="n">
        <v>1</v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2026-10-07T10:14:52Z</dcterms:created>
  <dcterms:modified xsi:type="dcterms:W3CDTF">2026-10-07T10:14:53Z</dcterms:modified>
</cp:coreProperties>
</file>